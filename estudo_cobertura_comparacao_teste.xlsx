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Categorias" sheetId="1" r:id="rId1"/>
    <sheet name="BISNAGA_REGULAR" sheetId="2" r:id="rId2"/>
    <sheet name="BOLOS_REGULAR" sheetId="3" r:id="rId3"/>
    <sheet name="Gráficos Cobertura" sheetId="4" r:id="rId4"/>
    <sheet name="Base SKUs" sheetId="5" r:id="rId5"/>
    <sheet name="SKUs por Categoria" sheetId="6" r:id="rId6"/>
    <sheet name="Parâmetros" sheetId="7" r:id="rId7"/>
    <sheet name="Descrição Cálculos" sheetId="8" r:id="rId8"/>
    <sheet name="Avisos" sheetId="9" r:id="rId9"/>
    <sheet name="Crosschecks" sheetId="10" r:id="rId10"/>
  </sheets>
  <definedNames>
    <definedName name="_xlnm._FilterDatabase" localSheetId="8" hidden="1">Avisos!$A$2:$B$15</definedName>
    <definedName name="_xlnm._FilterDatabase" localSheetId="4" hidden="1">'Base SKUs'!$A$2:$AR$6</definedName>
    <definedName name="_xlnm._FilterDatabase" localSheetId="7" hidden="1">'Descrição Cálculos'!$A$2:$F$40</definedName>
    <definedName name="_xlnm._FilterDatabase" localSheetId="6" hidden="1">Parâmetros!$A$2:$C$31</definedName>
    <definedName name="_xlnm._FilterDatabase" localSheetId="5" hidden="1">'SKUs por Categoria'!$A$2:$AO$4</definedName>
  </definedNames>
  <calcPr calcId="124519" fullCalcOnLoad="1"/>
</workbook>
</file>

<file path=xl/sharedStrings.xml><?xml version="1.0" encoding="utf-8"?>
<sst xmlns="http://schemas.openxmlformats.org/spreadsheetml/2006/main" count="1444" uniqueCount="438">
  <si>
    <t>Comparação de Estudo de Cobertura</t>
  </si>
  <si>
    <t>Estudo/Sell-out 2.0</t>
  </si>
  <si>
    <t>estudo_sellout_2_0.xlsx</t>
  </si>
  <si>
    <t>Estudo/Sell-out 3.0</t>
  </si>
  <si>
    <t>estudo_sellout_3_0.xlsx</t>
  </si>
  <si>
    <t>Opções de saída</t>
  </si>
  <si>
    <t>Resumo Categorias: Sim; Abas por categoria/PROD: Sim; Base SKUs: Sim; Base Contribuição Sell-out: Sim; SKUs por Categoria: Sim; Crosschecks: Sim; Parâmetros: Sim; Descrição Cálculos: Sim; Avisos: Sim; Gráficos Cobertura: Sim; Abas auxiliares da comparação: Sim; TOP 20 SKU por UF/Canal: Não</t>
  </si>
  <si>
    <t>Abrir aba</t>
  </si>
  <si>
    <t>Categoria/PROD</t>
  </si>
  <si>
    <t>Status Comparação</t>
  </si>
  <si>
    <t>Sell-in</t>
  </si>
  <si>
    <t>Sell-out 2.0</t>
  </si>
  <si>
    <t>Sell-out 3.0</t>
  </si>
  <si>
    <t>Diferença Sell-out</t>
  </si>
  <si>
    <t>Diferença % Sell-out</t>
  </si>
  <si>
    <t>Cobertura 2.0</t>
  </si>
  <si>
    <t>Cobertura 3.0</t>
  </si>
  <si>
    <t>Diferença Cobertura</t>
  </si>
  <si>
    <t>Status Sell-in 2.0</t>
  </si>
  <si>
    <t>Status Sell-in 3.0</t>
  </si>
  <si>
    <t>Importância Sell-in 2.0</t>
  </si>
  <si>
    <t>Importância Sell-in 3.0</t>
  </si>
  <si>
    <t>Tendência Sell-in 2.0</t>
  </si>
  <si>
    <t>Tendência Sell-in 3.0</t>
  </si>
  <si>
    <t>Tendência Sell-out 2.0</t>
  </si>
  <si>
    <t>Tendência Sell-out 3.0</t>
  </si>
  <si>
    <t>Diferença Tendência 2.0</t>
  </si>
  <si>
    <t>Diferença Tendência 3.0</t>
  </si>
  <si>
    <t>Meses consecutivos Sell-in 2.0</t>
  </si>
  <si>
    <t>Meses consecutivos Sell-in 3.0</t>
  </si>
  <si>
    <t>Qtd SKUs Sell-in 2.0</t>
  </si>
  <si>
    <t>Qtd SKUs Sell-in 3.0</t>
  </si>
  <si>
    <t>Qtd SKUs Sell-out 2.0</t>
  </si>
  <si>
    <t>Qtd SKUs Sell-out 3.0</t>
  </si>
  <si>
    <t>Qtd SKUs em comum 2.0</t>
  </si>
  <si>
    <t>Qtd SKUs em comum 3.0</t>
  </si>
  <si>
    <t>Período exibido 2.0</t>
  </si>
  <si>
    <t>Período exibido 3.0</t>
  </si>
  <si>
    <t>Cobertura MAT 2.0</t>
  </si>
  <si>
    <t>Cobertura MAT 3.0</t>
  </si>
  <si>
    <t>Sell-in 6M Anterior 2.0</t>
  </si>
  <si>
    <t>Sell-in 6M Anterior 3.0</t>
  </si>
  <si>
    <t>Sell-in 6M Atual 2.0</t>
  </si>
  <si>
    <t>Sell-in 6M Atual 3.0</t>
  </si>
  <si>
    <t>Tendência Sell-in 6M 2.0</t>
  </si>
  <si>
    <t>Tendência Sell-in 6M 3.0</t>
  </si>
  <si>
    <t>Sell-out 6M Anterior 2.0</t>
  </si>
  <si>
    <t>Sell-out 6M Anterior 3.0</t>
  </si>
  <si>
    <t>Sell-out 6M Atual 2.0</t>
  </si>
  <si>
    <t>Sell-out 6M Atual 3.0</t>
  </si>
  <si>
    <t>Tendência Sell-out 6M 2.0</t>
  </si>
  <si>
    <t>Tendência Sell-out 6M 3.0</t>
  </si>
  <si>
    <t>Cobertura atual 2.0</t>
  </si>
  <si>
    <t>Cobertura atual 3.0</t>
  </si>
  <si>
    <t>SKUs_Sellin 2.0</t>
  </si>
  <si>
    <t>SKUs_Sellin 3.0</t>
  </si>
  <si>
    <t>SKUs_Sellout 2.0</t>
  </si>
  <si>
    <t>SKUs_Sellout 3.0</t>
  </si>
  <si>
    <t>SKUs_Em_Comum 2.0</t>
  </si>
  <si>
    <t>SKUs_Em_Comum 3.0</t>
  </si>
  <si>
    <t>Cobertura importância Sell-in 2.0</t>
  </si>
  <si>
    <t>Cobertura importância Sell-in 3.0</t>
  </si>
  <si>
    <t>Cobertura importância Sell-out 2.0</t>
  </si>
  <si>
    <t>Cobertura importância Sell-out 3.0</t>
  </si>
  <si>
    <t>Abrir</t>
  </si>
  <si>
    <t>BISNAGA_REGULAR</t>
  </si>
  <si>
    <t>Em ambos</t>
  </si>
  <si>
    <t>BOLOS_REGULAR</t>
  </si>
  <si>
    <t>Voltar ao Resumo</t>
  </si>
  <si>
    <t>Estudo de Cobertura</t>
  </si>
  <si>
    <t>Categoria</t>
  </si>
  <si>
    <t>Fabricante</t>
  </si>
  <si>
    <t>FAB TESTE</t>
  </si>
  <si>
    <t>Tipo de Cálculo</t>
  </si>
  <si>
    <t>Ano fechado - 01/2025 a 12/2025</t>
  </si>
  <si>
    <t>12 meses</t>
  </si>
  <si>
    <t>Volume FY 2024</t>
  </si>
  <si>
    <t>Volume FY 2025</t>
  </si>
  <si>
    <t>Tendência</t>
  </si>
  <si>
    <t>Sellin</t>
  </si>
  <si>
    <t>Sellout 2.0</t>
  </si>
  <si>
    <t>Sellout 3.0</t>
  </si>
  <si>
    <t>6 meses móveis - 07/2025 a 12/2025</t>
  </si>
  <si>
    <t>Volume 6M Ant.</t>
  </si>
  <si>
    <t>Volume 6M Atual</t>
  </si>
  <si>
    <t>Período</t>
  </si>
  <si>
    <t>Dt Inic</t>
  </si>
  <si>
    <t>Dt fim</t>
  </si>
  <si>
    <t>MAT</t>
  </si>
  <si>
    <t>Volume MAT-1</t>
  </si>
  <si>
    <t>Volume MAT</t>
  </si>
  <si>
    <t>Data</t>
  </si>
  <si>
    <t>UF</t>
  </si>
  <si>
    <t>Sell-in 12M</t>
  </si>
  <si>
    <t>Sell-out 12M 2.0</t>
  </si>
  <si>
    <t>Sell-out 12M 3.0</t>
  </si>
  <si>
    <t>Importância Sell-in</t>
  </si>
  <si>
    <t>Importância Sell-out 2.0</t>
  </si>
  <si>
    <t>Importância Sell-out 3.0</t>
  </si>
  <si>
    <t>AL - SE</t>
  </si>
  <si>
    <t>BA</t>
  </si>
  <si>
    <t>CE</t>
  </si>
  <si>
    <t>DF</t>
  </si>
  <si>
    <t>ES</t>
  </si>
  <si>
    <t>GO</t>
  </si>
  <si>
    <t>MA - PI</t>
  </si>
  <si>
    <t>MG</t>
  </si>
  <si>
    <t>MS</t>
  </si>
  <si>
    <t>MT</t>
  </si>
  <si>
    <t>PB</t>
  </si>
  <si>
    <t>PE</t>
  </si>
  <si>
    <t>PR</t>
  </si>
  <si>
    <t>RJ</t>
  </si>
  <si>
    <t>RN</t>
  </si>
  <si>
    <t>RR - AM - RO - AC</t>
  </si>
  <si>
    <t>RS</t>
  </si>
  <si>
    <t>SC</t>
  </si>
  <si>
    <t>SP</t>
  </si>
  <si>
    <t>TO - PA - AP</t>
  </si>
  <si>
    <t>TOTAL</t>
  </si>
  <si>
    <t>SKU em Comum 2.0</t>
  </si>
  <si>
    <t>SKU em Comum 3.0</t>
  </si>
  <si>
    <t>SKUs excluídos do SKU em Comum - 2.0</t>
  </si>
  <si>
    <t>SKU</t>
  </si>
  <si>
    <t>Status</t>
  </si>
  <si>
    <t>Sell-out</t>
  </si>
  <si>
    <t>Nome SKU</t>
  </si>
  <si>
    <t>Marca</t>
  </si>
  <si>
    <t>Nenhum SKU excluído ou tabela não localizada no estudo original.</t>
  </si>
  <si>
    <t>SKUs excluídos do SKU em Comum - 3.0</t>
  </si>
  <si>
    <t>Categoria/Prod: BISNAGA_REGULAR</t>
  </si>
  <si>
    <t>Categoria/Prod: BOLOS_REGULAR</t>
  </si>
  <si>
    <t>ean</t>
  </si>
  <si>
    <t>Nome_SKU 2.0</t>
  </si>
  <si>
    <t>Nome_SKU 3.0</t>
  </si>
  <si>
    <t>Marca 2.0</t>
  </si>
  <si>
    <t>Marca 3.0</t>
  </si>
  <si>
    <t>Fabricante 2.0</t>
  </si>
  <si>
    <t>Fabricante 3.0</t>
  </si>
  <si>
    <t>Fabricante referência Sell-in 2.0</t>
  </si>
  <si>
    <t>Fabricante referência Sell-in 3.0</t>
  </si>
  <si>
    <t>Está no Sell-in Cliente 2.0</t>
  </si>
  <si>
    <t>Está no Sell-in Cliente 3.0</t>
  </si>
  <si>
    <t>Está no nosso Sell-out 2.0</t>
  </si>
  <si>
    <t>Está no nosso Sell-out 3.0</t>
  </si>
  <si>
    <t>Está no SKU SM/Publicar 2.0</t>
  </si>
  <si>
    <t>Está no SKU SM/Publicar 3.0</t>
  </si>
  <si>
    <t>SKU em comum 2.0</t>
  </si>
  <si>
    <t>SKU em comum 3.0</t>
  </si>
  <si>
    <t>Dentro do fabricante Sell-in 2.0</t>
  </si>
  <si>
    <t>Dentro do fabricante Sell-in 3.0</t>
  </si>
  <si>
    <t>SKU em comum no fabricante Sell-in 2.0</t>
  </si>
  <si>
    <t>SKU em comum no fabricante Sell-in 3.0</t>
  </si>
  <si>
    <t>Status SKU 2.0</t>
  </si>
  <si>
    <t>Status SKU 3.0</t>
  </si>
  <si>
    <t>Volume Sell-in SKU 2.0</t>
  </si>
  <si>
    <t>Volume Sell-in SKU 3.0</t>
  </si>
  <si>
    <t>Volume Sell-out SKU 2.0</t>
  </si>
  <si>
    <t>Volume Sell-out SKU 3.0</t>
  </si>
  <si>
    <t>Volume Sell-out Referência SKU 2.0</t>
  </si>
  <si>
    <t>Volume Sell-out Referência SKU 3.0</t>
  </si>
  <si>
    <t>Volume Sell-out Fab. Sell-in SKU 2.0</t>
  </si>
  <si>
    <t>Volume Sell-out Fab. Sell-in SKU 3.0</t>
  </si>
  <si>
    <t>Importância Sell-in SKU 2.0</t>
  </si>
  <si>
    <t>Importância Sell-in SKU 3.0</t>
  </si>
  <si>
    <t>Importância Sell-out SKU 2.0</t>
  </si>
  <si>
    <t>Importância Sell-out SKU 3.0</t>
  </si>
  <si>
    <t>Importância Sell-out SKU Fab. Sell-in 2.0</t>
  </si>
  <si>
    <t>Importância Sell-out SKU Fab. Sell-in 3.0</t>
  </si>
  <si>
    <t>categoria_key 2.0</t>
  </si>
  <si>
    <t>categoria_key 3.0</t>
  </si>
  <si>
    <t>Volume_Sellin_Encontrado_Fabricante 2.0</t>
  </si>
  <si>
    <t>Volume_Sellin_Encontrado_Fabricante 3.0</t>
  </si>
  <si>
    <t>SKUs_Sellin_Encontrados_Fabricante 2.0</t>
  </si>
  <si>
    <t>SKUs_Sellin_Encontrados_Fabricante 3.0</t>
  </si>
  <si>
    <t>BISNAGA REGULAR</t>
  </si>
  <si>
    <t>BOLOS REGULAR</t>
  </si>
  <si>
    <t>7891000000001</t>
  </si>
  <si>
    <t>7891000000002</t>
  </si>
  <si>
    <t>7891000000100</t>
  </si>
  <si>
    <t>7891000000101</t>
  </si>
  <si>
    <t>Produto BISNAGA REGULAR 400G</t>
  </si>
  <si>
    <t>Produto BOLOS REGULAR 400G</t>
  </si>
  <si>
    <t>MARCA A</t>
  </si>
  <si>
    <t>Em comum</t>
  </si>
  <si>
    <t>bisnaga regular</t>
  </si>
  <si>
    <t>bolos regular</t>
  </si>
  <si>
    <t>Base SKUs - comparação 2.0 x 3.0</t>
  </si>
  <si>
    <t>Fabricante_referencia_Sellin 2.0</t>
  </si>
  <si>
    <t>Fabricante_referencia_Sellin 3.0</t>
  </si>
  <si>
    <t>SKUs_Em_Comum_Fabricante_Sellin 2.0</t>
  </si>
  <si>
    <t>SKUs_Em_Comum_Fabricante_Sellin 3.0</t>
  </si>
  <si>
    <t>Volume_Sellin 2.0</t>
  </si>
  <si>
    <t>Volume_Sellin 3.0</t>
  </si>
  <si>
    <t>Volume_Sellout 2.0</t>
  </si>
  <si>
    <t>Volume_Sellout 3.0</t>
  </si>
  <si>
    <t>Volume_Sellout_Fabricante_Sellin 2.0</t>
  </si>
  <si>
    <t>Volume_Sellout_Fabricante_Sellin 3.0</t>
  </si>
  <si>
    <t>SKUs_Nosso_Sellout 2.0</t>
  </si>
  <si>
    <t>SKUs_Nosso_Sellout 3.0</t>
  </si>
  <si>
    <t>Volume_Sellout_Referencia 2.0</t>
  </si>
  <si>
    <t>Volume_Sellout_Referencia 3.0</t>
  </si>
  <si>
    <t>Volume_Sellin_Em_Comum 2.0</t>
  </si>
  <si>
    <t>Volume_Sellin_Em_Comum 3.0</t>
  </si>
  <si>
    <t>Volume_Sellout_Em_Comum 2.0</t>
  </si>
  <si>
    <t>Volume_Sellout_Em_Comum 3.0</t>
  </si>
  <si>
    <t>Volume_Sellout_Em_Comum_Fabricante_Sellin 2.0</t>
  </si>
  <si>
    <t>Volume_Sellout_Em_Comum_Fabricante_Sellin 3.0</t>
  </si>
  <si>
    <t>Total_Sellout_Fabricante_Sellin 2.0</t>
  </si>
  <si>
    <t>Total_Sellout_Fabricante_Sellin 3.0</t>
  </si>
  <si>
    <t>Cobertura importância Sell-out Fab. Sell-in 2.0</t>
  </si>
  <si>
    <t>Cobertura importância Sell-out Fab. Sell-in 3.0</t>
  </si>
  <si>
    <t>% Sell-in usado para detectar fabricante 2.0</t>
  </si>
  <si>
    <t>% Sell-in usado para detectar fabricante 3.0</t>
  </si>
  <si>
    <t>SKUs por Categoria - comparação 2.0 x 3.0</t>
  </si>
  <si>
    <t>Parâmetro</t>
  </si>
  <si>
    <t>Valor 2.0</t>
  </si>
  <si>
    <t>Valor 3.0</t>
  </si>
  <si>
    <t>Ajuste volumetria aplicado</t>
  </si>
  <si>
    <t>Arquivo Congelado opcional</t>
  </si>
  <si>
    <t>Arquivo Sell-in</t>
  </si>
  <si>
    <t>Arquivo Sell-out</t>
  </si>
  <si>
    <t>Coluna ajustada por volumetria</t>
  </si>
  <si>
    <t>Critério ajuste volumetria</t>
  </si>
  <si>
    <t>Critério volume variável</t>
  </si>
  <si>
    <t>Data de geração</t>
  </si>
  <si>
    <t>Divisor aplicado na volumetria</t>
  </si>
  <si>
    <t>Divisor aplicado na volumetria por categoria</t>
  </si>
  <si>
    <t>Escala/volumetria comparativa final</t>
  </si>
  <si>
    <t>Fabricante selecionado</t>
  </si>
  <si>
    <t>Gramatura média global volume variável</t>
  </si>
  <si>
    <t>Linhas Sell-in convertidas por volume variável</t>
  </si>
  <si>
    <t>Mediana Sell-out/Sell-in antes do ajuste</t>
  </si>
  <si>
    <t>Mediana Sell-out/Sell-in após ajuste</t>
  </si>
  <si>
    <t>Métrica cobertura</t>
  </si>
  <si>
    <t>Opções de saída geradas</t>
  </si>
  <si>
    <t>Regra MAT</t>
  </si>
  <si>
    <t>Regra UF comparação</t>
  </si>
  <si>
    <t>Regra categoria/PROD</t>
  </si>
  <si>
    <t>Regra cobertura mensal</t>
  </si>
  <si>
    <t>Regra de categoria</t>
  </si>
  <si>
    <t>Regra fabricante</t>
  </si>
  <si>
    <t>Regra leitura Sell-in</t>
  </si>
  <si>
    <t>SKUs com peso localizado no Dash/Vendas SKU</t>
  </si>
  <si>
    <t>SKUs mapeados pelo Congelado opcional</t>
  </si>
  <si>
    <t>Uso do Congelado opcional</t>
  </si>
  <si>
    <t>Volume variável aplicado</t>
  </si>
  <si>
    <t>Não</t>
  </si>
  <si>
    <t>Não informado</t>
  </si>
  <si>
    <t>sellin_teste.xlsx</t>
  </si>
  <si>
    <t>sellout_teste.xlsx</t>
  </si>
  <si>
    <t>Nenhuma</t>
  </si>
  <si>
    <t>Inferência por categoria/PROD. Categorias avaliadas: 2. Ajustes aplicados: 0.</t>
  </si>
  <si>
    <t>Não aplicado</t>
  </si>
  <si>
    <t>18/06/2026 18:14:45</t>
  </si>
  <si>
    <t>1</t>
  </si>
  <si>
    <t>BISNAGA REGULAR: 1 (sem ajuste); BOLOS REGULAR: 1 (sem ajuste)</t>
  </si>
  <si>
    <t>Sem alteração por categoria</t>
  </si>
  <si>
    <t>0</t>
  </si>
  <si>
    <t>0.8200000000000001</t>
  </si>
  <si>
    <t>volume</t>
  </si>
  <si>
    <t>Resumo Categorias: Sim; Abas por categoria/PROD: Sim; Base SKUs: Sim; Base Contribuição Sell-out: Sim; SKUs por Categoria: Sim; Crosschecks: Sim; Parâmetros: Sim; Descrição Cálculos: Sim; Avisos: Sim; Gráficos Cobertura: Não; Abas auxiliares da comparação: Sim; TOP 20 SKU por UF/Canal: Não</t>
  </si>
  <si>
    <t>Prioriza anos fechados consecutivos. Se não houver, usa YTD contra mesmo período do ano anterior.</t>
  </si>
  <si>
    <t>Sell-in e Sell-out são comparados com UF padronizada: AL - SE, MA - PI, RR - AM - RO - AC, TO - PA - AP e SP consolidado incluindo INT/MET/Interior/RegMet. Em modo mensal, a tabela por UF usa os últimos 12 meses móveis, alinhada à cobertura.</t>
  </si>
  <si>
    <t>NIVEL2</t>
  </si>
  <si>
    <t>12 meses móveis: SOMA(Sell-out últimos 12 meses) / SOMA(Sell-in últimos 12 meses)</t>
  </si>
  <si>
    <t>NIVEL2: o SKU do Sell-in é usado para localizar o PROD correspondente no Sell-out; cada valor do NIVEL2 vira uma aba própria e o cálculo usa apenas os SKUs mapeados para aquele valor.</t>
  </si>
  <si>
    <t>Fabricante referência = fabricante predominante dos SKUs do Sell-in encontrados no Sell-out, ponderado pelo Sell-in.</t>
  </si>
  <si>
    <t>Aba do template Sell-in; cabeçalho procurado primeiro de baixo para cima entre as linhas 15 e 1; se não encontrar, continua até o limite atual de leitura.</t>
  </si>
  <si>
    <t>sellout_teste_30.xlsx</t>
  </si>
  <si>
    <t>18/06/2026 18:14:46</t>
  </si>
  <si>
    <t>0.9184</t>
  </si>
  <si>
    <t>Parâmetros usados - comparação 2.0 x 3.0</t>
  </si>
  <si>
    <t>Nome da aba</t>
  </si>
  <si>
    <t>Nome da coluna calculada</t>
  </si>
  <si>
    <t>Explicação 2.0</t>
  </si>
  <si>
    <t>Explicação 3.0</t>
  </si>
  <si>
    <t>Como foi calculado 2.0</t>
  </si>
  <si>
    <t>Como foi calculado 3.0</t>
  </si>
  <si>
    <t>Abas de categoria/PROD</t>
  </si>
  <si>
    <t>Avisos</t>
  </si>
  <si>
    <t>Base SKUs</t>
  </si>
  <si>
    <t>Crosschecks</t>
  </si>
  <si>
    <t>Parâmetros</t>
  </si>
  <si>
    <t>Resumo Categorias</t>
  </si>
  <si>
    <t>SKUs por Categoria</t>
  </si>
  <si>
    <t>Cobertura</t>
  </si>
  <si>
    <t>Gráfico Sell-in x Sell-out por mês</t>
  </si>
  <si>
    <t>Importância Sell-out</t>
  </si>
  <si>
    <t>Resumo 6 meses móveis</t>
  </si>
  <si>
    <t>Resumo MAT/YTD</t>
  </si>
  <si>
    <t>Sell-in SKU em Comum / Sell-out SKU em Comum / Cobertura SKU em Comum</t>
  </si>
  <si>
    <t>Tabela por UF</t>
  </si>
  <si>
    <t>Tendência %</t>
  </si>
  <si>
    <t>Aviso</t>
  </si>
  <si>
    <t>Dentro do fabricante Sell-in</t>
  </si>
  <si>
    <t>Fabricante referência Sell-in</t>
  </si>
  <si>
    <t>Importância Sell-in SKU</t>
  </si>
  <si>
    <t>Importância Sell-out SKU</t>
  </si>
  <si>
    <t>Importância Sell-out SKU Fab. Sell-in</t>
  </si>
  <si>
    <t>SKU em comum</t>
  </si>
  <si>
    <t>Sell-out / Dash / Check</t>
  </si>
  <si>
    <t>Coluna ajustada por volumetria / Divisor aplicado</t>
  </si>
  <si>
    <t>Volume variável aplicado / Gramatura média global</t>
  </si>
  <si>
    <t>% Sell-in usado para detectar fabricante</t>
  </si>
  <si>
    <t>Cobertura atual</t>
  </si>
  <si>
    <t>Cobertura importância Sell-in</t>
  </si>
  <si>
    <t>Cobertura importância Sell-out</t>
  </si>
  <si>
    <t>Cobertura importância Sell-out Fab. Sell-in</t>
  </si>
  <si>
    <t>Qtd SKUs Sell-in / Qtd SKUs Sell-out / Qtd SKUs em comum</t>
  </si>
  <si>
    <t>Sell-in 6M / Sell-out 6M / Cobertura 6M Atual</t>
  </si>
  <si>
    <t>Sell-in MAT-1 / Sell-in MAT / Tendência Sell-in</t>
  </si>
  <si>
    <t>Sell-out MAT-1 / Sell-out MAT / Tendência Sell-out</t>
  </si>
  <si>
    <t>Status Sell-in</t>
  </si>
  <si>
    <t>Tendência Sell-in / Tendência Sell-out / Diferença Tendência</t>
  </si>
  <si>
    <t>Tipo comparação</t>
  </si>
  <si>
    <t>Na tabela mensal, é a cobertura em 12 meses móveis, não a cobertura mensal simples.</t>
  </si>
  <si>
    <t>Gráfico de linhas com Sell-in e Sell-out por mês, no padrão visual solicitado.</t>
  </si>
  <si>
    <t>Na tabela por UF, mostra o peso daquela UF dentro do Sell-in da categoria na mesma janela usada para a cobertura 12 meses móveis.</t>
  </si>
  <si>
    <t>Na tabela por UF, mostra o peso daquela UF dentro do Sell-out da categoria na mesma janela usada para a cobertura 12 meses móveis.</t>
  </si>
  <si>
    <t>A tabela MAT da área I:L usa tendência de 12 meses móveis, separada da tendência FY/YTD da tabela superior.</t>
  </si>
  <si>
    <t>Compara os últimos 6 meses disponíveis contra os 6 meses anteriores.</t>
  </si>
  <si>
    <t>Resumo comparativo entre os períodos de referência usados para a categoria.</t>
  </si>
  <si>
    <t>Mostra a cobertura mensal considerando apenas os SKUs que existem simultaneamente no Sell-in e no Sell-out.</t>
  </si>
  <si>
    <t>Compara Sell-in e Sell-out usando a mesma abertura de UF/grupo nos dois lados.</t>
  </si>
  <si>
    <t>Mostra a variação percentual entre o período anterior e o período atual para Sell-in, Sell-out ou Cobertura.</t>
  </si>
  <si>
    <t>Registra pontos de atenção da leitura, como colunas não encontradas, filtros aplicados e fallbacks usados.</t>
  </si>
  <si>
    <t>Indica se o SKU pertence ao fabricante de referência do Sell-in.</t>
  </si>
  <si>
    <t>Fabricante usado como referência para limitar a visão de importância do nosso Sell-out.</t>
  </si>
  <si>
    <t>Peso do SKU dentro do Sell-in da categoria.</t>
  </si>
  <si>
    <t>Peso do SKU dentro do nosso Sell-out da categoria.</t>
  </si>
  <si>
    <t>Peso do SKU dentro do Sell-out apenas do fabricante de referência do Sell-in.</t>
  </si>
  <si>
    <t>Indica se o SKU existe tanto no Sell-in quanto no nosso Sell-out.</t>
  </si>
  <si>
    <t>Para cada categoria/PROD processado, mostra o Sell-out por UF e mês, deixa uma tabela Dash em branco para preenchimento manual e cria uma tabela Check para validar se Dash e Sell-out estão iguais.</t>
  </si>
  <si>
    <t>Indica se o código precisou colocar Sell-in e Sell-out na mesma escala antes de calcular cobertura.</t>
  </si>
  <si>
    <t>Mostra qual lado foi alterado e por qual fator para deixar Sell-in e Sell-out comparáveis.</t>
  </si>
  <si>
    <t>Documenta se a métrica Volume Variável foi usada para converter o Sell-in em volume estimado por peso unitário médio.</t>
  </si>
  <si>
    <t>Quanto do Sell-in conseguiu ser usado para identificar o fabricante de referência pelo cruzamento com o Sell-out.</t>
  </si>
  <si>
    <t>Link interno para abrir diretamente a aba da categoria/PROD correspondente.</t>
  </si>
  <si>
    <t>Mostra quanto do Sell-in do período atual está coberto pelo Sell-out correspondente.</t>
  </si>
  <si>
    <t>Percentual da importância do Sell-in do cliente que também aparece no nosso Sell-out, considerando os SKUs em comum.</t>
  </si>
  <si>
    <t>Percentual da importância do nosso Sell-out coberto pelos SKUs em comum com o Sell-in.</t>
  </si>
  <si>
    <t>Percentual da importância do nosso Sell-out coberto pelos SKUs em comum, limitado ao fabricante de referência do Sell-in.</t>
  </si>
  <si>
    <t>Mostra o peso da categoria/PROD dentro do Sell-in total do resumo, usando o mesmo período atual do cálculo principal.</t>
  </si>
  <si>
    <t>Mostra quantos SKUs aparecem no Sell-in, no Sell-out e nas duas bases ao mesmo tempo.</t>
  </si>
  <si>
    <t>Resume a comparação dos últimos 6 meses contra os 6 meses anteriores.</t>
  </si>
  <si>
    <t>Reproduz no resumo principal a comparação do bloco MAT/YTD calculada nas abas de categoria.</t>
  </si>
  <si>
    <t>Indica se a categoria/PROD tem base mensal suficiente no Sell-in para cobertura 12 meses móveis.</t>
  </si>
  <si>
    <t>Compara a tendência de crescimento/queda do Sell-in e do Sell-out na categoria/PROD e mostra a diferença entre elas.</t>
  </si>
  <si>
    <t>Indica se a comparação usou ano fechado ou YTD.</t>
  </si>
  <si>
    <t>Resumo por categoria do percentual do Sell-in coberto pelos SKUs que também estão no Sell-out.</t>
  </si>
  <si>
    <t>Resumo por categoria do percentual do Sell-out coberto pelos SKUs que também estão no Sell-in.</t>
  </si>
  <si>
    <t>Resumo por categoria do percentual do Sell-out do fabricante de referência coberto pelos SKUs em comum.</t>
  </si>
  <si>
    <t>SOMA(Sell-out dos últimos 12 meses) / SOMA(Sell-in dos últimos 12 meses). Exemplo: D40 = SOMA(C29:C40) / SOMA(B29:B40).</t>
  </si>
  <si>
    <t>Usa os valores mensais já ajustados de volumetria. Sell-in é linha azul e Sell-out é linha laranja. A cobertura permanece na tabela, mas não entra no gráfico.</t>
  </si>
  <si>
    <t>Sell-in da UF nos últimos 12 meses móveis / Sell-in total da categoria nos mesmos últimos 12 meses móveis.</t>
  </si>
  <si>
    <t>Sell-out da UF nos últimos 12 meses móveis / Sell-out total da categoria nos mesmos últimos 12 meses móveis.</t>
  </si>
  <si>
    <t>MAT = últimos 12 meses encerrando no último mês comum disponível. MAT-1 = 12 meses imediatamente anteriores. Tendência = MAT / MAT-1 - 1.</t>
  </si>
  <si>
    <t>Soma os 6 meses mais recentes e compara com a soma dos 6 meses imediatamente anteriores. Cobertura = Sell-out / Sell-in.</t>
  </si>
  <si>
    <t>Soma Sell-in e Sell-out no período anterior e no atual. A cobertura do bloco é Sell-out / Sell-in em cada período.</t>
  </si>
  <si>
    <t>Primeiro identifica os SKUs/EANs em comum na categoria/PROD. Depois soma mensalmente o Sell-in e o Sell-out apenas desses SKUs. A Cobertura SKU em Comum usa 12 meses móveis: SOMA(Sell-out SKU em Comum 12M) / SOMA(Sell-in SKU em Comum 12M).</t>
  </si>
  <si>
    <t>Antes de somar, as UFs são padronizadas: AL e SE viram AL - SE; MA e PI viram MA - PI; RR/AM/RO/AC viram RR - AM - RO - AC; TO/PA/AP viram TO - PA - AP; aberturas de São Paulo como INT - SP, MET - SP, SP - INT, SP - Interior ou SP-REGMET viram SP. Em modo mensal, a tabela usa os últimos 12 meses móveis encerrando no último mês comum entre Sell-in e Sell-out.</t>
  </si>
  <si>
    <t>(Valor atual / Valor anterior) - 1. Quando o valor anterior é zero, o resultado fica vazio.</t>
  </si>
  <si>
    <t>Texto gerado automaticamente durante a leitura e validação dos arquivos.</t>
  </si>
  <si>
    <t>Compara o fabricante do SKU no Sell-out com o Fabricante referência Sell-in da categoria.</t>
  </si>
  <si>
    <t>Identificado pelo fabricante predominante dos SKUs do Sell-in encontrados no Sell-out, considerando o maior volume de Sell-in encontrado.</t>
  </si>
  <si>
    <t>Volume Sell-in SKU / Volume total de Sell-in da categoria.</t>
  </si>
  <si>
    <t>Volume Sell-out SKU / Volume total de Sell-out da categoria.</t>
  </si>
  <si>
    <t>Volume Sell-out Fab. Sell-in SKU / Volume total do Sell-out do fabricante de referência na categoria.</t>
  </si>
  <si>
    <t>VERDADEIRO quando o SKU tem volume de Sell-in maior que zero e volume de Sell-out maior que zero.</t>
  </si>
  <si>
    <t>Sell-out é agrupado por categoria/PROD, UF padronizada e mês. Dash fica em branco. Check usa fórmulas do Excel no padrão =IF(célula Dash=célula Sell-out,'OK','NOK').</t>
  </si>
  <si>
    <t>Compara a mediana da razão Sell-out/Sell-in por categoria. Se a diferença sugerir escala de centenas, milhares, milhões etc., divide o lado maior pelo fator detectado.</t>
  </si>
  <si>
    <t>Exemplo: se Sell-out aparenta estar em unidades e Sell-in em milhares, o Sell-out é dividido por 1.000.</t>
  </si>
  <si>
    <t>Quando a opção volume_variavel é escolhida, o Sell-in em quantidade é multiplicado pela gramatura média ponderada localizada no nome dos SKUs do Sell-out e dividido por 1.000.</t>
  </si>
  <si>
    <t>Volume_Sellin_Encontrado_Fabricante / Volume_Sellin.</t>
  </si>
  <si>
    <t>O código grava um hyperlink interno para a célula A1 da aba gerada para cada categoria/PROD.</t>
  </si>
  <si>
    <t>Sell-out atual / Sell-in atual. O período atual é FY quando há anos fechados consecutivos; caso contrário, é YTD.</t>
  </si>
  <si>
    <t>Volume_Sellin_Em_Comum / Volume_Sellin.</t>
  </si>
  <si>
    <t>Volume_Sellout_Em_Comum / Volume_Sellout.</t>
  </si>
  <si>
    <t>Volume_Sellout_Em_Comum_Fabricante_Sellin / Total_Sellout_Fabricante_Sellin.</t>
  </si>
  <si>
    <t>Sell-in atual da categoria/PROD / soma do Sell-in atual de todas as categorias/PRODs. A aba Resumo Categorias é ordenada por essa coluna, do maior para o menor.</t>
  </si>
  <si>
    <t>Contagem distinta de SKU/EAN por categoria/PROD em cada base e na intersecção entre Sell-in e Sell-out.</t>
  </si>
  <si>
    <t>Soma dos últimos 6 meses disponíveis e dos 6 meses imediatamente anteriores. Cobertura 6M Atual = Sell-out 6M Atual / Sell-in 6M Atual.</t>
  </si>
  <si>
    <t>Soma do Sell-in no período anterior e no período atual. A variação é (Sell-in atual / Sell-in anterior) - 1.</t>
  </si>
  <si>
    <t>Soma do Sell-out no período anterior e no período atual. A variação é (Sell-out atual / Sell-out anterior) - 1.</t>
  </si>
  <si>
    <t>Válido quando existe sequência de pelo menos 12 meses consecutivos com Sell-in maior que zero; caso contrário, Inválido.</t>
  </si>
  <si>
    <t>Tendência Sell-in = (Sell-in do período atual / Sell-in do período anterior) - 1. Tendência Sell-out = (Sell-out do período atual / Sell-out do período anterior) - 1. Diferença Tendência = Tendência Sell-out - Tendência Sell-in. O período é ano fechado quando houver; caso contrário, YTD.</t>
  </si>
  <si>
    <t>Ano fechado quando existem dois anos completos consecutivos. Se o último ano estiver incompleto, usa YTD até o último mês disponível contra o mesmo período do ano anterior.</t>
  </si>
  <si>
    <t>Descrição dos cálculos - comparação 2.0 x 3.0</t>
  </si>
  <si>
    <t>Aviso 2.0</t>
  </si>
  <si>
    <t>Aviso 3.0</t>
  </si>
  <si>
    <t>Sell-in: coluna de valor escolhida: 'SELL IN (Kg / L)'.</t>
  </si>
  <si>
    <t>Sell-in - colunas reconhecidas: UF='UF SM'; Mês/Data='DATA'; Ano=não encontrada; SKU/EAN='EAN'; Categoria='Categoria SM'; Fabricante=não encontrada; Valor Sell-in='SELL IN (Kg / L)'.</t>
  </si>
  <si>
    <t>Sell-in - colunas opcionais não encontradas: Ano (testei: Ano, ANO, Year) | Fabricante (testei: Fabricante, Fornecedor, Indústria).</t>
  </si>
  <si>
    <t>Sell-in lido da aba 'Sell-in' a partir da linha de cabeçalho 14, usando a coluna 'SELL IN (Kg / L)' como métrica.</t>
  </si>
  <si>
    <t>Sell-out - colunas reconhecidas: UF='UF'; Mês/Data='DATA'; Ano=não encontrada; SKU/EAN='SKU'; Categoria/PROD='NIVEL2'; Fabricante='Fabricante'; Marca='Marca'; Nome SKU='Nome SKU'; Canal=não encontrada; Valor Sell-out='Vendas_em_volume'; Qtd Sell-out para ponderação=não encontrada; Volume Sell-out para comparação=não encontrada.</t>
  </si>
  <si>
    <t>Sell-out - colunas opcionais não encontradas: Ano (testei: Ano, ANO, Year) | Canal (testei: PDV_CANAL, Canal).</t>
  </si>
  <si>
    <t>Sell-out filtrado pelo fabricante selecionado: FAB TESTE. Exato: 96; contém: 96; linhas mantidas: 96 de 96.</t>
  </si>
  <si>
    <t>Sell-out lido da aba 'Sheet1', usando coluna 'NIVEL2' do Sell-out como categoria/PROD e 'Vendas_em_volume' como métrica.</t>
  </si>
  <si>
    <t>Mapeamento de categoria no Sell-in via Sell-out: 4 de 4 SKUs do Sell-in encontrados.</t>
  </si>
  <si>
    <t>NIVEL2: 4 de 4 SKUs do Sell-in foram mapeados para valores do NIVEL2. Cada valor do NIVEL2 será gerado em uma aba própria.</t>
  </si>
  <si>
    <t>NIVEL2: as abas serão geradas pelo próprio valor do nível escolhido, por exemplo PÃO_DE_FORMA_TRADICIONAL, PÃO_DE_FORMA_INTEGRAL etc.</t>
  </si>
  <si>
    <t>Volumetria: sem ajuste aplicado por categoria. Mediana Sell-out/Sell-in = 0.8200.</t>
  </si>
  <si>
    <t>UF comparação: Sell-in e Sell-out foram consolidados para a mesma abertura de UF/grupo: AL - SE, MA - PI, RR - AM - RO - AC, TO - PA - AP e SP único somando INT/MET/Interior/RegMet. A tabela por UF, em modo mensal, usa os últimos 12 meses móveis, alinhada à cobertura.</t>
  </si>
  <si>
    <t>Volumetria: sem ajuste aplicado por categoria. Mediana Sell-out/Sell-in = 0.9184.</t>
  </si>
  <si>
    <t>Avisos - comparação 2.0 x 3.0</t>
  </si>
  <si>
    <t>Crosschecks - Sell-out 2.0</t>
  </si>
  <si>
    <t>Crosschecks - Sell-out 3.0</t>
  </si>
  <si>
    <t>Crosschecks - Sell-out x Dash por UF e mês</t>
  </si>
  <si>
    <t>Regra de UF</t>
  </si>
  <si>
    <t>UFs padronizadas para comparação: AL - SE; MA - PI; RR - AM - RO - AC; TO - PA - AP; SP consolidado com INT/MET/Interior/RegMet. O usuário preenche a tabela Dash; a tabela Check compara Dash x Sell-out.</t>
  </si>
  <si>
    <t>Sell-out por UF</t>
  </si>
  <si>
    <t>jan. 24</t>
  </si>
  <si>
    <t>fev. 24</t>
  </si>
  <si>
    <t>mar. 24</t>
  </si>
  <si>
    <t>abr. 24</t>
  </si>
  <si>
    <t>mai. 24</t>
  </si>
  <si>
    <t>jun. 24</t>
  </si>
  <si>
    <t>jul. 24</t>
  </si>
  <si>
    <t>ago. 24</t>
  </si>
  <si>
    <t>set. 24</t>
  </si>
  <si>
    <t>out. 24</t>
  </si>
  <si>
    <t>nov. 24</t>
  </si>
  <si>
    <t>dez. 24</t>
  </si>
  <si>
    <t>jan. 25</t>
  </si>
  <si>
    <t>fev. 25</t>
  </si>
  <si>
    <t>mar. 25</t>
  </si>
  <si>
    <t>abr. 25</t>
  </si>
  <si>
    <t>mai. 25</t>
  </si>
  <si>
    <t>jun. 25</t>
  </si>
  <si>
    <t>jul. 25</t>
  </si>
  <si>
    <t>ago. 25</t>
  </si>
  <si>
    <t>set. 25</t>
  </si>
  <si>
    <t>out. 25</t>
  </si>
  <si>
    <t>nov. 25</t>
  </si>
  <si>
    <t>dez. 25</t>
  </si>
  <si>
    <t>Dash</t>
  </si>
  <si>
    <t>Check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</si>
</sst>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mmm/yy"/>
    <numFmt numFmtId="167" formatCode="#,##0"/>
  </numFmts>
  <fonts count="9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167" fontId="0" fillId="0" borderId="1" xfId="0" applyNumberFormat="1" applyBorder="1"/>
    <xf numFmtId="0" fontId="8" fillId="2" borderId="0" xfId="0" applyFont="1" applyFill="1"/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Sell-in x Sell-out 2.0 x Sell-out 3.0 por mês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Sell-in</c:v>
          </c:tx>
          <c:spPr>
            <a:ln w="28575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BISNAGA_REGULAR!$B$19:$B$42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BISNAGA_REGULAR!$C$19:$C$42</c:f>
              <c:numCache>
                <c:formatCode>General</c:formatCode>
                <c:ptCount val="24"/>
                <c:pt idx="0">
                  <c:v>2080</c:v>
                </c:pt>
                <c:pt idx="1">
                  <c:v>2100</c:v>
                </c:pt>
                <c:pt idx="2">
                  <c:v>2120</c:v>
                </c:pt>
                <c:pt idx="3">
                  <c:v>2140</c:v>
                </c:pt>
                <c:pt idx="4">
                  <c:v>2160</c:v>
                </c:pt>
                <c:pt idx="5">
                  <c:v>2180</c:v>
                </c:pt>
                <c:pt idx="6">
                  <c:v>2200</c:v>
                </c:pt>
                <c:pt idx="7">
                  <c:v>2220</c:v>
                </c:pt>
                <c:pt idx="8">
                  <c:v>2240</c:v>
                </c:pt>
                <c:pt idx="9">
                  <c:v>2260</c:v>
                </c:pt>
                <c:pt idx="10">
                  <c:v>2280</c:v>
                </c:pt>
                <c:pt idx="11">
                  <c:v>2300</c:v>
                </c:pt>
                <c:pt idx="12">
                  <c:v>2320</c:v>
                </c:pt>
                <c:pt idx="13">
                  <c:v>2340</c:v>
                </c:pt>
                <c:pt idx="14">
                  <c:v>2360</c:v>
                </c:pt>
                <c:pt idx="15">
                  <c:v>2380</c:v>
                </c:pt>
                <c:pt idx="16">
                  <c:v>2400</c:v>
                </c:pt>
                <c:pt idx="17">
                  <c:v>2420</c:v>
                </c:pt>
                <c:pt idx="18">
                  <c:v>2440</c:v>
                </c:pt>
                <c:pt idx="19">
                  <c:v>2460</c:v>
                </c:pt>
                <c:pt idx="20">
                  <c:v>2480</c:v>
                </c:pt>
                <c:pt idx="21">
                  <c:v>2500</c:v>
                </c:pt>
                <c:pt idx="22">
                  <c:v>2520</c:v>
                </c:pt>
                <c:pt idx="23">
                  <c:v>2540</c:v>
                </c:pt>
              </c:numCache>
            </c:numRef>
          </c:val>
        </c:ser>
        <c:ser>
          <c:idx val="1"/>
          <c:order val="1"/>
          <c:tx>
            <c:v>Sell-out 2.0</c:v>
          </c:tx>
          <c:spPr>
            <a:ln w="28575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BISNAGA_REGULAR!$B$19:$B$42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BISNAGA_REGULAR!$D$19:$D$42</c:f>
              <c:numCache>
                <c:formatCode>General</c:formatCode>
                <c:ptCount val="24"/>
                <c:pt idx="0">
                  <c:v>1705.6</c:v>
                </c:pt>
                <c:pt idx="1">
                  <c:v>1722</c:v>
                </c:pt>
                <c:pt idx="2">
                  <c:v>1738.4</c:v>
                </c:pt>
                <c:pt idx="3">
                  <c:v>1754.8</c:v>
                </c:pt>
                <c:pt idx="4">
                  <c:v>1771.2</c:v>
                </c:pt>
                <c:pt idx="5">
                  <c:v>1787.6</c:v>
                </c:pt>
                <c:pt idx="6">
                  <c:v>1804</c:v>
                </c:pt>
                <c:pt idx="7">
                  <c:v>1820.4</c:v>
                </c:pt>
                <c:pt idx="8">
                  <c:v>1836.8</c:v>
                </c:pt>
                <c:pt idx="9">
                  <c:v>1853.2</c:v>
                </c:pt>
                <c:pt idx="10">
                  <c:v>1869.6</c:v>
                </c:pt>
                <c:pt idx="11">
                  <c:v>1886</c:v>
                </c:pt>
                <c:pt idx="12">
                  <c:v>1902.4</c:v>
                </c:pt>
                <c:pt idx="13">
                  <c:v>1918.8</c:v>
                </c:pt>
                <c:pt idx="14">
                  <c:v>1935.2</c:v>
                </c:pt>
                <c:pt idx="15">
                  <c:v>1951.6</c:v>
                </c:pt>
                <c:pt idx="16">
                  <c:v>1968</c:v>
                </c:pt>
                <c:pt idx="17">
                  <c:v>1984.4</c:v>
                </c:pt>
                <c:pt idx="18">
                  <c:v>2000.8</c:v>
                </c:pt>
                <c:pt idx="19">
                  <c:v>2017.2</c:v>
                </c:pt>
                <c:pt idx="20">
                  <c:v>2033.6</c:v>
                </c:pt>
                <c:pt idx="21">
                  <c:v>2050</c:v>
                </c:pt>
                <c:pt idx="22">
                  <c:v>2066.4</c:v>
                </c:pt>
                <c:pt idx="23">
                  <c:v>2082.8</c:v>
                </c:pt>
              </c:numCache>
            </c:numRef>
          </c:val>
        </c:ser>
        <c:ser>
          <c:idx val="2"/>
          <c:order val="2"/>
          <c:tx>
            <c:v>Sell-out 3.0</c:v>
          </c:tx>
          <c:spPr>
            <a:ln w="28575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BISNAGA_REGULAR!$B$19:$B$42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BISNAGA_REGULAR!$E$19:$E$42</c:f>
              <c:numCache>
                <c:formatCode>General</c:formatCode>
                <c:ptCount val="24"/>
                <c:pt idx="0">
                  <c:v>1910.272</c:v>
                </c:pt>
                <c:pt idx="1">
                  <c:v>1928.64</c:v>
                </c:pt>
                <c:pt idx="2">
                  <c:v>1947.008</c:v>
                </c:pt>
                <c:pt idx="3">
                  <c:v>1965.376</c:v>
                </c:pt>
                <c:pt idx="4">
                  <c:v>1983.744</c:v>
                </c:pt>
                <c:pt idx="5">
                  <c:v>2002.112</c:v>
                </c:pt>
                <c:pt idx="6">
                  <c:v>2020.48</c:v>
                </c:pt>
                <c:pt idx="7">
                  <c:v>2038.848</c:v>
                </c:pt>
                <c:pt idx="8">
                  <c:v>2057.216</c:v>
                </c:pt>
                <c:pt idx="9">
                  <c:v>2075.584</c:v>
                </c:pt>
                <c:pt idx="10">
                  <c:v>2093.952</c:v>
                </c:pt>
                <c:pt idx="11">
                  <c:v>2112.32</c:v>
                </c:pt>
                <c:pt idx="12">
                  <c:v>2130.688</c:v>
                </c:pt>
                <c:pt idx="13">
                  <c:v>2149.056</c:v>
                </c:pt>
                <c:pt idx="14">
                  <c:v>2167.424</c:v>
                </c:pt>
                <c:pt idx="15">
                  <c:v>2185.792</c:v>
                </c:pt>
                <c:pt idx="16">
                  <c:v>2204.16</c:v>
                </c:pt>
                <c:pt idx="17">
                  <c:v>2222.528</c:v>
                </c:pt>
                <c:pt idx="18">
                  <c:v>2240.896</c:v>
                </c:pt>
                <c:pt idx="19">
                  <c:v>2259.264</c:v>
                </c:pt>
                <c:pt idx="20">
                  <c:v>2277.632</c:v>
                </c:pt>
                <c:pt idx="21">
                  <c:v>2296</c:v>
                </c:pt>
                <c:pt idx="22">
                  <c:v>2314.368</c:v>
                </c:pt>
                <c:pt idx="23">
                  <c:v>2332.736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numFmt formatCode="mmm/yy" sourceLinked="0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SKU em comum - Sell-in x Sell-out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Sell-in SKU comum 2.0</c:v>
          </c:tx>
          <c:spPr>
            <a:ln w="28575">
              <a:solidFill>
                <a:srgbClr val="156082"/>
              </a:solidFill>
              <a:prstDash val="dash"/>
            </a:ln>
          </c:spPr>
          <c:marker>
            <c:symbol val="none"/>
          </c:marker>
          <c:cat>
            <c:numRef>
              <c:f>BISNAGA_REGULAR!$B$65:$B$88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BISNAGA_REGULAR!$C$65:$C$88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26280</c:v>
                </c:pt>
                <c:pt idx="12">
                  <c:v>26520</c:v>
                </c:pt>
                <c:pt idx="13">
                  <c:v>26760</c:v>
                </c:pt>
                <c:pt idx="14">
                  <c:v>27000</c:v>
                </c:pt>
                <c:pt idx="15">
                  <c:v>27240</c:v>
                </c:pt>
                <c:pt idx="16">
                  <c:v>27480</c:v>
                </c:pt>
                <c:pt idx="17">
                  <c:v>27720</c:v>
                </c:pt>
                <c:pt idx="18">
                  <c:v>27960</c:v>
                </c:pt>
                <c:pt idx="19">
                  <c:v>28200</c:v>
                </c:pt>
                <c:pt idx="20">
                  <c:v>28440</c:v>
                </c:pt>
                <c:pt idx="21">
                  <c:v>28680</c:v>
                </c:pt>
                <c:pt idx="22">
                  <c:v>28920</c:v>
                </c:pt>
                <c:pt idx="23">
                  <c:v>29160</c:v>
                </c:pt>
              </c:numCache>
            </c:numRef>
          </c:val>
        </c:ser>
        <c:ser>
          <c:idx val="1"/>
          <c:order val="1"/>
          <c:tx>
            <c:v>Sell-out SKU comum 2.0</c:v>
          </c:tx>
          <c:spPr>
            <a:ln w="28575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BISNAGA_REGULAR!$B$65:$B$88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BISNAGA_REGULAR!$D$65:$D$88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21549.6</c:v>
                </c:pt>
                <c:pt idx="12">
                  <c:v>21746.4</c:v>
                </c:pt>
                <c:pt idx="13">
                  <c:v>21943.2</c:v>
                </c:pt>
                <c:pt idx="14">
                  <c:v>22140</c:v>
                </c:pt>
                <c:pt idx="15">
                  <c:v>22336.8</c:v>
                </c:pt>
                <c:pt idx="16">
                  <c:v>22533.6</c:v>
                </c:pt>
                <c:pt idx="17">
                  <c:v>22730.4</c:v>
                </c:pt>
                <c:pt idx="18">
                  <c:v>22927.2</c:v>
                </c:pt>
                <c:pt idx="19">
                  <c:v>23124</c:v>
                </c:pt>
                <c:pt idx="20">
                  <c:v>23320.8</c:v>
                </c:pt>
                <c:pt idx="21">
                  <c:v>23517.6</c:v>
                </c:pt>
                <c:pt idx="22">
                  <c:v>23714.4</c:v>
                </c:pt>
                <c:pt idx="23">
                  <c:v>23911.2</c:v>
                </c:pt>
              </c:numCache>
            </c:numRef>
          </c:val>
        </c:ser>
        <c:ser>
          <c:idx val="2"/>
          <c:order val="2"/>
          <c:tx>
            <c:v>Sell-in SKU comum 3.0</c:v>
          </c:tx>
          <c:spPr>
            <a:ln w="28575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BISNAGA_REGULAR!$G$65:$G$88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BISNAGA_REGULAR!$H$65:$H$88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26280</c:v>
                </c:pt>
                <c:pt idx="12">
                  <c:v>26520</c:v>
                </c:pt>
                <c:pt idx="13">
                  <c:v>26760</c:v>
                </c:pt>
                <c:pt idx="14">
                  <c:v>27000</c:v>
                </c:pt>
                <c:pt idx="15">
                  <c:v>27240</c:v>
                </c:pt>
                <c:pt idx="16">
                  <c:v>27480</c:v>
                </c:pt>
                <c:pt idx="17">
                  <c:v>27720</c:v>
                </c:pt>
                <c:pt idx="18">
                  <c:v>27960</c:v>
                </c:pt>
                <c:pt idx="19">
                  <c:v>28200</c:v>
                </c:pt>
                <c:pt idx="20">
                  <c:v>28440</c:v>
                </c:pt>
                <c:pt idx="21">
                  <c:v>28680</c:v>
                </c:pt>
                <c:pt idx="22">
                  <c:v>28920</c:v>
                </c:pt>
                <c:pt idx="23">
                  <c:v>29160</c:v>
                </c:pt>
              </c:numCache>
            </c:numRef>
          </c:val>
        </c:ser>
        <c:ser>
          <c:idx val="3"/>
          <c:order val="3"/>
          <c:tx>
            <c:v>Sell-out SKU comum 3.0</c:v>
          </c:tx>
          <c:spPr>
            <a:ln w="28575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BISNAGA_REGULAR!$G$65:$G$88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BISNAGA_REGULAR!$I$65:$I$88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24135.552</c:v>
                </c:pt>
                <c:pt idx="12">
                  <c:v>24355.968</c:v>
                </c:pt>
                <c:pt idx="13">
                  <c:v>24576.384</c:v>
                </c:pt>
                <c:pt idx="14">
                  <c:v>24796.8</c:v>
                </c:pt>
                <c:pt idx="15">
                  <c:v>25017.216</c:v>
                </c:pt>
                <c:pt idx="16">
                  <c:v>25237.632</c:v>
                </c:pt>
                <c:pt idx="17">
                  <c:v>25458.048</c:v>
                </c:pt>
                <c:pt idx="18">
                  <c:v>25678.464</c:v>
                </c:pt>
                <c:pt idx="19">
                  <c:v>25898.88</c:v>
                </c:pt>
                <c:pt idx="20">
                  <c:v>26119.296</c:v>
                </c:pt>
                <c:pt idx="21">
                  <c:v>26339.712</c:v>
                </c:pt>
                <c:pt idx="22">
                  <c:v>26560.128</c:v>
                </c:pt>
                <c:pt idx="23">
                  <c:v>26780.544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numFmt formatCode="mmm/yy" sourceLinked="0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Sell-in x Sell-out 2.0 x Sell-out 3.0 por mês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Sell-in</c:v>
          </c:tx>
          <c:spPr>
            <a:ln w="28575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BOLOS_REGULAR!$B$19:$B$42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BOLOS_REGULAR!$C$19:$C$42</c:f>
              <c:numCache>
                <c:formatCode>General</c:formatCode>
                <c:ptCount val="24"/>
                <c:pt idx="0">
                  <c:v>2480</c:v>
                </c:pt>
                <c:pt idx="1">
                  <c:v>2500</c:v>
                </c:pt>
                <c:pt idx="2">
                  <c:v>2520</c:v>
                </c:pt>
                <c:pt idx="3">
                  <c:v>2540</c:v>
                </c:pt>
                <c:pt idx="4">
                  <c:v>2560</c:v>
                </c:pt>
                <c:pt idx="5">
                  <c:v>2580</c:v>
                </c:pt>
                <c:pt idx="6">
                  <c:v>2600</c:v>
                </c:pt>
                <c:pt idx="7">
                  <c:v>2620</c:v>
                </c:pt>
                <c:pt idx="8">
                  <c:v>2640</c:v>
                </c:pt>
                <c:pt idx="9">
                  <c:v>2660</c:v>
                </c:pt>
                <c:pt idx="10">
                  <c:v>2680</c:v>
                </c:pt>
                <c:pt idx="11">
                  <c:v>2700</c:v>
                </c:pt>
                <c:pt idx="12">
                  <c:v>2720</c:v>
                </c:pt>
                <c:pt idx="13">
                  <c:v>2740</c:v>
                </c:pt>
                <c:pt idx="14">
                  <c:v>2760</c:v>
                </c:pt>
                <c:pt idx="15">
                  <c:v>2780</c:v>
                </c:pt>
                <c:pt idx="16">
                  <c:v>2800</c:v>
                </c:pt>
                <c:pt idx="17">
                  <c:v>2820</c:v>
                </c:pt>
                <c:pt idx="18">
                  <c:v>2840</c:v>
                </c:pt>
                <c:pt idx="19">
                  <c:v>2860</c:v>
                </c:pt>
                <c:pt idx="20">
                  <c:v>2880</c:v>
                </c:pt>
                <c:pt idx="21">
                  <c:v>2900</c:v>
                </c:pt>
                <c:pt idx="22">
                  <c:v>2920</c:v>
                </c:pt>
                <c:pt idx="23">
                  <c:v>2940</c:v>
                </c:pt>
              </c:numCache>
            </c:numRef>
          </c:val>
        </c:ser>
        <c:ser>
          <c:idx val="1"/>
          <c:order val="1"/>
          <c:tx>
            <c:v>Sell-out 2.0</c:v>
          </c:tx>
          <c:spPr>
            <a:ln w="28575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BOLOS_REGULAR!$B$19:$B$42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BOLOS_REGULAR!$D$19:$D$42</c:f>
              <c:numCache>
                <c:formatCode>General</c:formatCode>
                <c:ptCount val="24"/>
                <c:pt idx="0">
                  <c:v>2033.6</c:v>
                </c:pt>
                <c:pt idx="1">
                  <c:v>2050</c:v>
                </c:pt>
                <c:pt idx="2">
                  <c:v>2066.4</c:v>
                </c:pt>
                <c:pt idx="3">
                  <c:v>2082.8</c:v>
                </c:pt>
                <c:pt idx="4">
                  <c:v>2099.2</c:v>
                </c:pt>
                <c:pt idx="5">
                  <c:v>2115.6</c:v>
                </c:pt>
                <c:pt idx="6">
                  <c:v>2132</c:v>
                </c:pt>
                <c:pt idx="7">
                  <c:v>2148.4</c:v>
                </c:pt>
                <c:pt idx="8">
                  <c:v>2164.8</c:v>
                </c:pt>
                <c:pt idx="9">
                  <c:v>2181.2</c:v>
                </c:pt>
                <c:pt idx="10">
                  <c:v>2197.6</c:v>
                </c:pt>
                <c:pt idx="11">
                  <c:v>2214</c:v>
                </c:pt>
                <c:pt idx="12">
                  <c:v>2230.4</c:v>
                </c:pt>
                <c:pt idx="13">
                  <c:v>2246.8</c:v>
                </c:pt>
                <c:pt idx="14">
                  <c:v>2263.2</c:v>
                </c:pt>
                <c:pt idx="15">
                  <c:v>2279.6</c:v>
                </c:pt>
                <c:pt idx="16">
                  <c:v>2296</c:v>
                </c:pt>
                <c:pt idx="17">
                  <c:v>2312.4</c:v>
                </c:pt>
                <c:pt idx="18">
                  <c:v>2328.8</c:v>
                </c:pt>
                <c:pt idx="19">
                  <c:v>2345.2</c:v>
                </c:pt>
                <c:pt idx="20">
                  <c:v>2361.6</c:v>
                </c:pt>
                <c:pt idx="21">
                  <c:v>2378</c:v>
                </c:pt>
                <c:pt idx="22">
                  <c:v>2394.4</c:v>
                </c:pt>
                <c:pt idx="23">
                  <c:v>2410.8</c:v>
                </c:pt>
              </c:numCache>
            </c:numRef>
          </c:val>
        </c:ser>
        <c:ser>
          <c:idx val="2"/>
          <c:order val="2"/>
          <c:tx>
            <c:v>Sell-out 3.0</c:v>
          </c:tx>
          <c:spPr>
            <a:ln w="28575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BOLOS_REGULAR!$B$19:$B$42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BOLOS_REGULAR!$E$19:$E$42</c:f>
              <c:numCache>
                <c:formatCode>General</c:formatCode>
                <c:ptCount val="24"/>
                <c:pt idx="0">
                  <c:v>2277.632</c:v>
                </c:pt>
                <c:pt idx="1">
                  <c:v>2296</c:v>
                </c:pt>
                <c:pt idx="2">
                  <c:v>2314.368</c:v>
                </c:pt>
                <c:pt idx="3">
                  <c:v>2332.736</c:v>
                </c:pt>
                <c:pt idx="4">
                  <c:v>2351.104</c:v>
                </c:pt>
                <c:pt idx="5">
                  <c:v>2369.472</c:v>
                </c:pt>
                <c:pt idx="6">
                  <c:v>2387.84</c:v>
                </c:pt>
                <c:pt idx="7">
                  <c:v>2406.208</c:v>
                </c:pt>
                <c:pt idx="8">
                  <c:v>2424.576</c:v>
                </c:pt>
                <c:pt idx="9">
                  <c:v>2442.944</c:v>
                </c:pt>
                <c:pt idx="10">
                  <c:v>2461.312</c:v>
                </c:pt>
                <c:pt idx="11">
                  <c:v>2479.68</c:v>
                </c:pt>
                <c:pt idx="12">
                  <c:v>2498.048</c:v>
                </c:pt>
                <c:pt idx="13">
                  <c:v>2516.416</c:v>
                </c:pt>
                <c:pt idx="14">
                  <c:v>2534.784</c:v>
                </c:pt>
                <c:pt idx="15">
                  <c:v>2553.152</c:v>
                </c:pt>
                <c:pt idx="16">
                  <c:v>2571.52</c:v>
                </c:pt>
                <c:pt idx="17">
                  <c:v>2589.888</c:v>
                </c:pt>
                <c:pt idx="18">
                  <c:v>2608.256</c:v>
                </c:pt>
                <c:pt idx="19">
                  <c:v>2626.624</c:v>
                </c:pt>
                <c:pt idx="20">
                  <c:v>2644.992</c:v>
                </c:pt>
                <c:pt idx="21">
                  <c:v>2663.36</c:v>
                </c:pt>
                <c:pt idx="22">
                  <c:v>2681.728</c:v>
                </c:pt>
                <c:pt idx="23">
                  <c:v>2700.096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numFmt formatCode="mmm/yy" sourceLinked="0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#,##0" sourceLinked="0"/>
        <c:tickLblPos val="nextTo"/>
        <c:crossAx val="5003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SKU em comum - Sell-in x Sell-out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Sell-in SKU comum 2.0</c:v>
          </c:tx>
          <c:spPr>
            <a:ln w="28575">
              <a:solidFill>
                <a:srgbClr val="156082"/>
              </a:solidFill>
              <a:prstDash val="dash"/>
            </a:ln>
          </c:spPr>
          <c:marker>
            <c:symbol val="none"/>
          </c:marker>
          <c:cat>
            <c:numRef>
              <c:f>BOLOS_REGULAR!$B$65:$B$88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BOLOS_REGULAR!$C$65:$C$88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31080</c:v>
                </c:pt>
                <c:pt idx="12">
                  <c:v>31320</c:v>
                </c:pt>
                <c:pt idx="13">
                  <c:v>31560</c:v>
                </c:pt>
                <c:pt idx="14">
                  <c:v>31800</c:v>
                </c:pt>
                <c:pt idx="15">
                  <c:v>32040</c:v>
                </c:pt>
                <c:pt idx="16">
                  <c:v>32280</c:v>
                </c:pt>
                <c:pt idx="17">
                  <c:v>32520</c:v>
                </c:pt>
                <c:pt idx="18">
                  <c:v>32760</c:v>
                </c:pt>
                <c:pt idx="19">
                  <c:v>33000</c:v>
                </c:pt>
                <c:pt idx="20">
                  <c:v>33240</c:v>
                </c:pt>
                <c:pt idx="21">
                  <c:v>33480</c:v>
                </c:pt>
                <c:pt idx="22">
                  <c:v>33720</c:v>
                </c:pt>
                <c:pt idx="23">
                  <c:v>33960</c:v>
                </c:pt>
              </c:numCache>
            </c:numRef>
          </c:val>
        </c:ser>
        <c:ser>
          <c:idx val="1"/>
          <c:order val="1"/>
          <c:tx>
            <c:v>Sell-out SKU comum 2.0</c:v>
          </c:tx>
          <c:spPr>
            <a:ln w="28575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BOLOS_REGULAR!$B$65:$B$88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BOLOS_REGULAR!$D$65:$D$88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25485.6</c:v>
                </c:pt>
                <c:pt idx="12">
                  <c:v>25682.4</c:v>
                </c:pt>
                <c:pt idx="13">
                  <c:v>25879.2</c:v>
                </c:pt>
                <c:pt idx="14">
                  <c:v>26076</c:v>
                </c:pt>
                <c:pt idx="15">
                  <c:v>26272.8</c:v>
                </c:pt>
                <c:pt idx="16">
                  <c:v>26469.6</c:v>
                </c:pt>
                <c:pt idx="17">
                  <c:v>26666.4</c:v>
                </c:pt>
                <c:pt idx="18">
                  <c:v>26863.2</c:v>
                </c:pt>
                <c:pt idx="19">
                  <c:v>27060</c:v>
                </c:pt>
                <c:pt idx="20">
                  <c:v>27256.8</c:v>
                </c:pt>
                <c:pt idx="21">
                  <c:v>27453.6</c:v>
                </c:pt>
                <c:pt idx="22">
                  <c:v>27650.4</c:v>
                </c:pt>
                <c:pt idx="23">
                  <c:v>27847.2</c:v>
                </c:pt>
              </c:numCache>
            </c:numRef>
          </c:val>
        </c:ser>
        <c:ser>
          <c:idx val="2"/>
          <c:order val="2"/>
          <c:tx>
            <c:v>Sell-in SKU comum 3.0</c:v>
          </c:tx>
          <c:spPr>
            <a:ln w="28575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BOLOS_REGULAR!$G$65:$G$88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BOLOS_REGULAR!$H$65:$H$88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31080</c:v>
                </c:pt>
                <c:pt idx="12">
                  <c:v>31320</c:v>
                </c:pt>
                <c:pt idx="13">
                  <c:v>31560</c:v>
                </c:pt>
                <c:pt idx="14">
                  <c:v>31800</c:v>
                </c:pt>
                <c:pt idx="15">
                  <c:v>32040</c:v>
                </c:pt>
                <c:pt idx="16">
                  <c:v>32280</c:v>
                </c:pt>
                <c:pt idx="17">
                  <c:v>32520</c:v>
                </c:pt>
                <c:pt idx="18">
                  <c:v>32760</c:v>
                </c:pt>
                <c:pt idx="19">
                  <c:v>33000</c:v>
                </c:pt>
                <c:pt idx="20">
                  <c:v>33240</c:v>
                </c:pt>
                <c:pt idx="21">
                  <c:v>33480</c:v>
                </c:pt>
                <c:pt idx="22">
                  <c:v>33720</c:v>
                </c:pt>
                <c:pt idx="23">
                  <c:v>33960</c:v>
                </c:pt>
              </c:numCache>
            </c:numRef>
          </c:val>
        </c:ser>
        <c:ser>
          <c:idx val="3"/>
          <c:order val="3"/>
          <c:tx>
            <c:v>Sell-out SKU comum 3.0</c:v>
          </c:tx>
          <c:spPr>
            <a:ln w="28575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BOLOS_REGULAR!$G$65:$G$88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BOLOS_REGULAR!$I$65:$I$88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28543.872</c:v>
                </c:pt>
                <c:pt idx="12">
                  <c:v>28764.288</c:v>
                </c:pt>
                <c:pt idx="13">
                  <c:v>28984.704</c:v>
                </c:pt>
                <c:pt idx="14">
                  <c:v>29205.12</c:v>
                </c:pt>
                <c:pt idx="15">
                  <c:v>29425.536</c:v>
                </c:pt>
                <c:pt idx="16">
                  <c:v>29645.952</c:v>
                </c:pt>
                <c:pt idx="17">
                  <c:v>29866.368</c:v>
                </c:pt>
                <c:pt idx="18">
                  <c:v>30086.784</c:v>
                </c:pt>
                <c:pt idx="19">
                  <c:v>30307.2</c:v>
                </c:pt>
                <c:pt idx="20">
                  <c:v>30527.616</c:v>
                </c:pt>
                <c:pt idx="21">
                  <c:v>30748.032</c:v>
                </c:pt>
                <c:pt idx="22">
                  <c:v>30968.448</c:v>
                </c:pt>
                <c:pt idx="23">
                  <c:v>31188.864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numFmt formatCode="mmm/yy" sourceLinked="0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#,##0" sourceLinked="0"/>
        <c:tickLblPos val="nextTo"/>
        <c:crossAx val="5004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42</xdr:row>
      <xdr:rowOff>0</xdr:rowOff>
    </xdr:from>
    <xdr:to>
      <xdr:col>9</xdr:col>
      <xdr:colOff>457200</xdr:colOff>
      <xdr:row>56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94</xdr:row>
      <xdr:rowOff>0</xdr:rowOff>
    </xdr:from>
    <xdr:to>
      <xdr:col>9</xdr:col>
      <xdr:colOff>457200</xdr:colOff>
      <xdr:row>108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42</xdr:row>
      <xdr:rowOff>0</xdr:rowOff>
    </xdr:from>
    <xdr:to>
      <xdr:col>9</xdr:col>
      <xdr:colOff>457200</xdr:colOff>
      <xdr:row>56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94</xdr:row>
      <xdr:rowOff>0</xdr:rowOff>
    </xdr:from>
    <xdr:to>
      <xdr:col>9</xdr:col>
      <xdr:colOff>457200</xdr:colOff>
      <xdr:row>108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13</xdr:col>
      <xdr:colOff>201016</xdr:colOff>
      <xdr:row>13</xdr:row>
      <xdr:rowOff>175513</xdr:rowOff>
    </xdr:to>
    <xdr:pic>
      <xdr:nvPicPr>
        <xdr:cNvPr id="2" name="Picture 1" descr="grafico_cobertura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11430991" cy="29187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13</xdr:col>
      <xdr:colOff>201016</xdr:colOff>
      <xdr:row>65</xdr:row>
      <xdr:rowOff>175513</xdr:rowOff>
    </xdr:to>
    <xdr:pic>
      <xdr:nvPicPr>
        <xdr:cNvPr id="3" name="Picture 2" descr="grafico_cobertur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15800"/>
          <a:ext cx="11430991" cy="2918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8"/>
  <sheetViews>
    <sheetView tabSelected="1" workbookViewId="0"/>
  </sheetViews>
  <sheetFormatPr defaultRowHeight="15"/>
  <cols>
    <col min="1" max="1" width="12.7109375" customWidth="1"/>
    <col min="2" max="3" width="28.7109375" customWidth="1"/>
    <col min="4" max="12" width="15.7109375" customWidth="1"/>
  </cols>
  <sheetData>
    <row r="1" spans="1:5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57">
      <c r="A2" s="2" t="s">
        <v>1</v>
      </c>
      <c r="B2" s="3" t="s">
        <v>2</v>
      </c>
    </row>
    <row r="3" spans="1:57">
      <c r="A3" s="2" t="s">
        <v>3</v>
      </c>
      <c r="B3" s="3" t="s">
        <v>4</v>
      </c>
    </row>
    <row r="4" spans="1:57">
      <c r="A4" s="2" t="s">
        <v>5</v>
      </c>
      <c r="B4" s="3" t="s">
        <v>6</v>
      </c>
    </row>
    <row r="6" spans="1:57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  <c r="X6" s="2" t="s">
        <v>30</v>
      </c>
      <c r="Y6" s="2" t="s">
        <v>31</v>
      </c>
      <c r="Z6" s="2" t="s">
        <v>32</v>
      </c>
      <c r="AA6" s="2" t="s">
        <v>33</v>
      </c>
      <c r="AB6" s="2" t="s">
        <v>34</v>
      </c>
      <c r="AC6" s="2" t="s">
        <v>35</v>
      </c>
      <c r="AD6" s="2" t="s">
        <v>36</v>
      </c>
      <c r="AE6" s="2" t="s">
        <v>37</v>
      </c>
      <c r="AF6" s="2" t="s">
        <v>38</v>
      </c>
      <c r="AG6" s="2" t="s">
        <v>39</v>
      </c>
      <c r="AH6" s="2" t="s">
        <v>40</v>
      </c>
      <c r="AI6" s="2" t="s">
        <v>41</v>
      </c>
      <c r="AJ6" s="2" t="s">
        <v>42</v>
      </c>
      <c r="AK6" s="2" t="s">
        <v>43</v>
      </c>
      <c r="AL6" s="2" t="s">
        <v>44</v>
      </c>
      <c r="AM6" s="2" t="s">
        <v>45</v>
      </c>
      <c r="AN6" s="2" t="s">
        <v>46</v>
      </c>
      <c r="AO6" s="2" t="s">
        <v>47</v>
      </c>
      <c r="AP6" s="2" t="s">
        <v>48</v>
      </c>
      <c r="AQ6" s="2" t="s">
        <v>49</v>
      </c>
      <c r="AR6" s="2" t="s">
        <v>50</v>
      </c>
      <c r="AS6" s="2" t="s">
        <v>51</v>
      </c>
      <c r="AT6" s="2" t="s">
        <v>52</v>
      </c>
      <c r="AU6" s="2" t="s">
        <v>53</v>
      </c>
      <c r="AV6" s="2" t="s">
        <v>54</v>
      </c>
      <c r="AW6" s="2" t="s">
        <v>55</v>
      </c>
      <c r="AX6" s="2" t="s">
        <v>56</v>
      </c>
      <c r="AY6" s="2" t="s">
        <v>57</v>
      </c>
      <c r="AZ6" s="2" t="s">
        <v>58</v>
      </c>
      <c r="BA6" s="2" t="s">
        <v>59</v>
      </c>
      <c r="BB6" s="2" t="s">
        <v>60</v>
      </c>
      <c r="BC6" s="2" t="s">
        <v>61</v>
      </c>
      <c r="BD6" s="2" t="s">
        <v>62</v>
      </c>
      <c r="BE6" s="2" t="s">
        <v>63</v>
      </c>
    </row>
    <row r="7" spans="1:57">
      <c r="A7" s="4" t="s">
        <v>64</v>
      </c>
      <c r="B7" s="3" t="s">
        <v>65</v>
      </c>
      <c r="C7" s="3" t="s">
        <v>66</v>
      </c>
      <c r="D7" s="5">
        <v>0</v>
      </c>
      <c r="E7" s="5">
        <v>0.1095890410958906</v>
      </c>
      <c r="F7" s="5">
        <v>0.1095890410958904</v>
      </c>
      <c r="G7" s="5">
        <v>-1.942890293094024E-16</v>
      </c>
      <c r="H7" s="6">
        <v>-1.772887392448294E-15</v>
      </c>
      <c r="I7" s="6">
        <v>0.8200000000000001</v>
      </c>
      <c r="J7" s="6">
        <v>0.9183999999999999</v>
      </c>
      <c r="K7" s="6">
        <v>0.09839999999999982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4" t="s">
        <v>64</v>
      </c>
      <c r="B8" s="3" t="s">
        <v>67</v>
      </c>
      <c r="C8" s="3" t="s">
        <v>66</v>
      </c>
      <c r="D8" s="5">
        <v>0</v>
      </c>
      <c r="E8" s="5">
        <v>0.0926640926640927</v>
      </c>
      <c r="F8" s="5">
        <v>0.0926640926640927</v>
      </c>
      <c r="G8" s="5">
        <v>0</v>
      </c>
      <c r="H8" s="6">
        <v>0</v>
      </c>
      <c r="I8" s="6">
        <v>0.8200000000000001</v>
      </c>
      <c r="J8" s="6">
        <v>0.9184</v>
      </c>
      <c r="K8" s="6">
        <v>0.09839999999999993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</sheetData>
  <mergeCells count="1">
    <mergeCell ref="A1:L1"/>
  </mergeCells>
  <hyperlinks>
    <hyperlink ref="A7" location="'BISNAGA_REGULAR'!A1" display="Abrir"/>
    <hyperlink ref="A8" location="'BOLOS_REGULAR'!A1" display="Abrir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Q93"/>
  <sheetViews>
    <sheetView workbookViewId="0"/>
  </sheetViews>
  <sheetFormatPr defaultRowHeight="18" customHeight="1"/>
  <cols>
    <col min="1" max="1" width="3.42578125" customWidth="1"/>
    <col min="2" max="11" width="12.7109375" customWidth="1"/>
    <col min="12" max="16" width="16.7109375" customWidth="1"/>
  </cols>
  <sheetData>
    <row r="1" spans="2:12" ht="18" customHeight="1">
      <c r="B1" s="7" t="s">
        <v>69</v>
      </c>
      <c r="C1" s="7"/>
      <c r="D1" s="7"/>
      <c r="E1" s="8" t="s">
        <v>70</v>
      </c>
      <c r="G1" s="8" t="s">
        <v>71</v>
      </c>
      <c r="L1" s="9" t="s">
        <v>68</v>
      </c>
    </row>
    <row r="2" spans="2:12" ht="18" customHeight="1">
      <c r="B2" s="7"/>
      <c r="C2" s="7"/>
      <c r="D2" s="7"/>
      <c r="E2" s="10" t="s">
        <v>65</v>
      </c>
      <c r="G2" s="10" t="s">
        <v>72</v>
      </c>
    </row>
    <row r="6" spans="2:12" ht="18" customHeight="1">
      <c r="B6" s="2" t="s">
        <v>73</v>
      </c>
      <c r="C6" s="2" t="s">
        <v>74</v>
      </c>
      <c r="D6" s="2"/>
      <c r="E6" s="2"/>
      <c r="F6" s="2"/>
      <c r="H6" s="2" t="s">
        <v>82</v>
      </c>
      <c r="I6" s="2"/>
      <c r="J6" s="2"/>
      <c r="K6" s="2"/>
    </row>
    <row r="7" spans="2:12" ht="18" customHeight="1">
      <c r="B7" s="2" t="s">
        <v>75</v>
      </c>
      <c r="C7" s="3"/>
      <c r="D7" s="2" t="s">
        <v>76</v>
      </c>
      <c r="E7" s="2" t="s">
        <v>77</v>
      </c>
      <c r="F7" s="2" t="s">
        <v>78</v>
      </c>
      <c r="H7" s="3"/>
      <c r="I7" s="2" t="s">
        <v>83</v>
      </c>
      <c r="J7" s="2" t="s">
        <v>84</v>
      </c>
      <c r="K7" s="2" t="s">
        <v>78</v>
      </c>
    </row>
    <row r="8" spans="2:12" ht="18" customHeight="1">
      <c r="C8" s="11" t="s">
        <v>79</v>
      </c>
      <c r="D8" s="5">
        <v>26280</v>
      </c>
      <c r="E8" s="5">
        <v>29160</v>
      </c>
      <c r="F8" s="6">
        <v>0.1095890410958904</v>
      </c>
      <c r="H8" s="11" t="s">
        <v>79</v>
      </c>
      <c r="I8" s="5">
        <v>14220</v>
      </c>
      <c r="J8" s="5">
        <v>14940</v>
      </c>
      <c r="K8" s="6">
        <v>0.05063291139240511</v>
      </c>
    </row>
    <row r="9" spans="2:12" ht="18" customHeight="1">
      <c r="C9" s="11" t="s">
        <v>80</v>
      </c>
      <c r="D9" s="5">
        <v>21549.6</v>
      </c>
      <c r="E9" s="5">
        <v>23911.2</v>
      </c>
      <c r="F9" s="6">
        <v>0.1095890410958906</v>
      </c>
      <c r="H9" s="11" t="s">
        <v>80</v>
      </c>
      <c r="I9" s="5">
        <v>11660.4</v>
      </c>
      <c r="J9" s="5">
        <v>12250.8</v>
      </c>
      <c r="K9" s="6">
        <v>0.05063291139240511</v>
      </c>
    </row>
    <row r="10" spans="2:12" ht="18" customHeight="1">
      <c r="C10" s="11" t="s">
        <v>81</v>
      </c>
      <c r="D10" s="5">
        <v>24135.552</v>
      </c>
      <c r="E10" s="5">
        <v>26780.544</v>
      </c>
      <c r="F10" s="6">
        <v>0.1095890410958904</v>
      </c>
      <c r="H10" s="11" t="s">
        <v>81</v>
      </c>
      <c r="I10" s="5">
        <v>13059.648</v>
      </c>
      <c r="J10" s="5">
        <v>13720.896</v>
      </c>
      <c r="K10" s="6">
        <v>0.05063291139240511</v>
      </c>
    </row>
    <row r="12" spans="2:12" ht="18" customHeight="1">
      <c r="B12" s="2" t="s">
        <v>85</v>
      </c>
      <c r="C12" s="2"/>
      <c r="D12" s="2"/>
      <c r="H12" s="2" t="s">
        <v>88</v>
      </c>
      <c r="I12" s="2"/>
      <c r="J12" s="2"/>
      <c r="K12" s="2"/>
    </row>
    <row r="13" spans="2:12" ht="18" customHeight="1">
      <c r="C13" s="2" t="s">
        <v>86</v>
      </c>
      <c r="D13" s="2" t="s">
        <v>87</v>
      </c>
      <c r="I13" s="2" t="s">
        <v>89</v>
      </c>
      <c r="J13" s="2" t="s">
        <v>90</v>
      </c>
      <c r="K13" s="2" t="s">
        <v>78</v>
      </c>
    </row>
    <row r="14" spans="2:12" ht="18" customHeight="1">
      <c r="B14" s="11" t="s">
        <v>79</v>
      </c>
      <c r="C14" s="12">
        <v>45658</v>
      </c>
      <c r="D14" s="12">
        <v>45992</v>
      </c>
      <c r="H14" s="11" t="s">
        <v>79</v>
      </c>
      <c r="I14" s="5">
        <v>26280</v>
      </c>
      <c r="J14" s="5">
        <v>29160</v>
      </c>
      <c r="K14" s="6">
        <v>0.1095890410958904</v>
      </c>
    </row>
    <row r="15" spans="2:12" ht="18" customHeight="1">
      <c r="B15" s="11" t="s">
        <v>80</v>
      </c>
      <c r="C15" s="12">
        <v>45658</v>
      </c>
      <c r="D15" s="12">
        <v>45992</v>
      </c>
      <c r="H15" s="11" t="s">
        <v>80</v>
      </c>
      <c r="I15" s="5">
        <v>21549.6</v>
      </c>
      <c r="J15" s="5">
        <v>23911.2</v>
      </c>
      <c r="K15" s="6">
        <v>0.1095890410958906</v>
      </c>
    </row>
    <row r="16" spans="2:12" ht="18" customHeight="1">
      <c r="B16" s="11" t="s">
        <v>81</v>
      </c>
      <c r="C16" s="12">
        <v>45658</v>
      </c>
      <c r="D16" s="12">
        <v>45992</v>
      </c>
      <c r="H16" s="11" t="s">
        <v>81</v>
      </c>
      <c r="I16" s="5">
        <v>24135.552</v>
      </c>
      <c r="J16" s="5">
        <v>26780.544</v>
      </c>
      <c r="K16" s="6">
        <v>0.1095890410958904</v>
      </c>
    </row>
    <row r="18" spans="2:17" ht="18" customHeight="1">
      <c r="B18" s="2" t="s">
        <v>91</v>
      </c>
      <c r="C18" s="2" t="s">
        <v>10</v>
      </c>
      <c r="D18" s="2" t="s">
        <v>11</v>
      </c>
      <c r="E18" s="2" t="s">
        <v>12</v>
      </c>
      <c r="F18" s="2" t="s">
        <v>15</v>
      </c>
      <c r="G18" s="2" t="s">
        <v>16</v>
      </c>
      <c r="I18" s="2" t="s">
        <v>92</v>
      </c>
      <c r="J18" s="2" t="s">
        <v>93</v>
      </c>
      <c r="K18" s="2" t="s">
        <v>94</v>
      </c>
      <c r="L18" s="2" t="s">
        <v>95</v>
      </c>
      <c r="M18" s="2" t="s">
        <v>15</v>
      </c>
      <c r="N18" s="2" t="s">
        <v>16</v>
      </c>
      <c r="O18" s="2" t="s">
        <v>96</v>
      </c>
      <c r="P18" s="2" t="s">
        <v>97</v>
      </c>
      <c r="Q18" s="2" t="s">
        <v>98</v>
      </c>
    </row>
    <row r="19" spans="2:17" ht="18" customHeight="1">
      <c r="B19" s="12">
        <v>45292</v>
      </c>
      <c r="C19" s="5">
        <v>2080</v>
      </c>
      <c r="D19" s="5">
        <v>1705.6</v>
      </c>
      <c r="E19" s="5">
        <v>1910.272</v>
      </c>
      <c r="F19" s="6"/>
      <c r="G19" s="6"/>
      <c r="I19" s="13" t="s">
        <v>99</v>
      </c>
      <c r="J19" s="5">
        <v>0</v>
      </c>
      <c r="K19" s="5">
        <v>0</v>
      </c>
      <c r="L19" s="5">
        <v>0</v>
      </c>
      <c r="M19" s="6"/>
      <c r="N19" s="6"/>
      <c r="O19" s="6">
        <v>0</v>
      </c>
      <c r="P19" s="6">
        <v>0</v>
      </c>
      <c r="Q19" s="6">
        <v>0</v>
      </c>
    </row>
    <row r="20" spans="2:17" ht="18" customHeight="1">
      <c r="B20" s="12">
        <v>45323</v>
      </c>
      <c r="C20" s="5">
        <v>2100</v>
      </c>
      <c r="D20" s="5">
        <v>1722</v>
      </c>
      <c r="E20" s="5">
        <v>1928.64</v>
      </c>
      <c r="F20" s="6"/>
      <c r="G20" s="6"/>
      <c r="I20" s="13" t="s">
        <v>100</v>
      </c>
      <c r="J20" s="5">
        <v>0</v>
      </c>
      <c r="K20" s="5">
        <v>0</v>
      </c>
      <c r="L20" s="5">
        <v>0</v>
      </c>
      <c r="M20" s="6"/>
      <c r="N20" s="6"/>
      <c r="O20" s="6">
        <v>0</v>
      </c>
      <c r="P20" s="6">
        <v>0</v>
      </c>
      <c r="Q20" s="6">
        <v>0</v>
      </c>
    </row>
    <row r="21" spans="2:17" ht="18" customHeight="1">
      <c r="B21" s="12">
        <v>45352</v>
      </c>
      <c r="C21" s="5">
        <v>2120</v>
      </c>
      <c r="D21" s="5">
        <v>1738.4</v>
      </c>
      <c r="E21" s="5">
        <v>1947.008</v>
      </c>
      <c r="F21" s="6"/>
      <c r="G21" s="6"/>
      <c r="I21" s="13" t="s">
        <v>101</v>
      </c>
      <c r="J21" s="5">
        <v>0</v>
      </c>
      <c r="K21" s="5">
        <v>0</v>
      </c>
      <c r="L21" s="5">
        <v>0</v>
      </c>
      <c r="M21" s="6"/>
      <c r="N21" s="6"/>
      <c r="O21" s="6">
        <v>0</v>
      </c>
      <c r="P21" s="6">
        <v>0</v>
      </c>
      <c r="Q21" s="6">
        <v>0</v>
      </c>
    </row>
    <row r="22" spans="2:17" ht="18" customHeight="1">
      <c r="B22" s="12">
        <v>45383</v>
      </c>
      <c r="C22" s="5">
        <v>2140</v>
      </c>
      <c r="D22" s="5">
        <v>1754.8</v>
      </c>
      <c r="E22" s="5">
        <v>1965.376</v>
      </c>
      <c r="F22" s="6"/>
      <c r="G22" s="6"/>
      <c r="I22" s="13" t="s">
        <v>102</v>
      </c>
      <c r="J22" s="5">
        <v>0</v>
      </c>
      <c r="K22" s="5">
        <v>0</v>
      </c>
      <c r="L22" s="5">
        <v>0</v>
      </c>
      <c r="M22" s="6"/>
      <c r="N22" s="6"/>
      <c r="O22" s="6">
        <v>0</v>
      </c>
      <c r="P22" s="6">
        <v>0</v>
      </c>
      <c r="Q22" s="6">
        <v>0</v>
      </c>
    </row>
    <row r="23" spans="2:17" ht="18" customHeight="1">
      <c r="B23" s="12">
        <v>45413</v>
      </c>
      <c r="C23" s="5">
        <v>2160</v>
      </c>
      <c r="D23" s="5">
        <v>1771.2</v>
      </c>
      <c r="E23" s="5">
        <v>1983.744</v>
      </c>
      <c r="F23" s="6"/>
      <c r="G23" s="6"/>
      <c r="I23" s="13" t="s">
        <v>103</v>
      </c>
      <c r="J23" s="5">
        <v>0</v>
      </c>
      <c r="K23" s="5">
        <v>0</v>
      </c>
      <c r="L23" s="5">
        <v>0</v>
      </c>
      <c r="M23" s="6"/>
      <c r="N23" s="6"/>
      <c r="O23" s="6">
        <v>0</v>
      </c>
      <c r="P23" s="6">
        <v>0</v>
      </c>
      <c r="Q23" s="6">
        <v>0</v>
      </c>
    </row>
    <row r="24" spans="2:17" ht="18" customHeight="1">
      <c r="B24" s="12">
        <v>45444</v>
      </c>
      <c r="C24" s="5">
        <v>2180</v>
      </c>
      <c r="D24" s="5">
        <v>1787.6</v>
      </c>
      <c r="E24" s="5">
        <v>2002.112</v>
      </c>
      <c r="F24" s="6"/>
      <c r="G24" s="6"/>
      <c r="I24" s="13" t="s">
        <v>104</v>
      </c>
      <c r="J24" s="5">
        <v>0</v>
      </c>
      <c r="K24" s="5">
        <v>0</v>
      </c>
      <c r="L24" s="5">
        <v>0</v>
      </c>
      <c r="M24" s="6"/>
      <c r="N24" s="6"/>
      <c r="O24" s="6">
        <v>0</v>
      </c>
      <c r="P24" s="6">
        <v>0</v>
      </c>
      <c r="Q24" s="6">
        <v>0</v>
      </c>
    </row>
    <row r="25" spans="2:17" ht="18" customHeight="1">
      <c r="B25" s="12">
        <v>45474</v>
      </c>
      <c r="C25" s="5">
        <v>2200</v>
      </c>
      <c r="D25" s="5">
        <v>1804</v>
      </c>
      <c r="E25" s="5">
        <v>2020.48</v>
      </c>
      <c r="F25" s="6"/>
      <c r="G25" s="6"/>
      <c r="I25" s="13" t="s">
        <v>105</v>
      </c>
      <c r="J25" s="5">
        <v>0</v>
      </c>
      <c r="K25" s="5">
        <v>0</v>
      </c>
      <c r="L25" s="5">
        <v>0</v>
      </c>
      <c r="M25" s="6"/>
      <c r="N25" s="6"/>
      <c r="O25" s="6">
        <v>0</v>
      </c>
      <c r="P25" s="6">
        <v>0</v>
      </c>
      <c r="Q25" s="6">
        <v>0</v>
      </c>
    </row>
    <row r="26" spans="2:17" ht="18" customHeight="1">
      <c r="B26" s="12">
        <v>45505</v>
      </c>
      <c r="C26" s="5">
        <v>2220</v>
      </c>
      <c r="D26" s="5">
        <v>1820.4</v>
      </c>
      <c r="E26" s="5">
        <v>2038.848</v>
      </c>
      <c r="F26" s="6"/>
      <c r="G26" s="6"/>
      <c r="I26" s="13" t="s">
        <v>106</v>
      </c>
      <c r="J26" s="5">
        <v>0</v>
      </c>
      <c r="K26" s="5">
        <v>0</v>
      </c>
      <c r="L26" s="5">
        <v>0</v>
      </c>
      <c r="M26" s="6"/>
      <c r="N26" s="6"/>
      <c r="O26" s="6">
        <v>0</v>
      </c>
      <c r="P26" s="6">
        <v>0</v>
      </c>
      <c r="Q26" s="6">
        <v>0</v>
      </c>
    </row>
    <row r="27" spans="2:17" ht="18" customHeight="1">
      <c r="B27" s="12">
        <v>45536</v>
      </c>
      <c r="C27" s="5">
        <v>2240</v>
      </c>
      <c r="D27" s="5">
        <v>1836.8</v>
      </c>
      <c r="E27" s="5">
        <v>2057.216</v>
      </c>
      <c r="F27" s="6"/>
      <c r="G27" s="6"/>
      <c r="I27" s="13" t="s">
        <v>107</v>
      </c>
      <c r="J27" s="5">
        <v>0</v>
      </c>
      <c r="K27" s="5">
        <v>0</v>
      </c>
      <c r="L27" s="5">
        <v>0</v>
      </c>
      <c r="M27" s="6"/>
      <c r="N27" s="6"/>
      <c r="O27" s="6">
        <v>0</v>
      </c>
      <c r="P27" s="6">
        <v>0</v>
      </c>
      <c r="Q27" s="6">
        <v>0</v>
      </c>
    </row>
    <row r="28" spans="2:17" ht="18" customHeight="1">
      <c r="B28" s="12">
        <v>45566</v>
      </c>
      <c r="C28" s="5">
        <v>2260</v>
      </c>
      <c r="D28" s="5">
        <v>1853.2</v>
      </c>
      <c r="E28" s="5">
        <v>2075.584</v>
      </c>
      <c r="F28" s="6"/>
      <c r="G28" s="6"/>
      <c r="I28" s="13" t="s">
        <v>108</v>
      </c>
      <c r="J28" s="5">
        <v>0</v>
      </c>
      <c r="K28" s="5">
        <v>0</v>
      </c>
      <c r="L28" s="5">
        <v>0</v>
      </c>
      <c r="M28" s="6"/>
      <c r="N28" s="6"/>
      <c r="O28" s="6">
        <v>0</v>
      </c>
      <c r="P28" s="6">
        <v>0</v>
      </c>
      <c r="Q28" s="6">
        <v>0</v>
      </c>
    </row>
    <row r="29" spans="2:17" ht="18" customHeight="1">
      <c r="B29" s="12">
        <v>45597</v>
      </c>
      <c r="C29" s="5">
        <v>2280</v>
      </c>
      <c r="D29" s="5">
        <v>1869.6</v>
      </c>
      <c r="E29" s="5">
        <v>2093.952</v>
      </c>
      <c r="F29" s="6"/>
      <c r="G29" s="6"/>
      <c r="I29" s="13" t="s">
        <v>109</v>
      </c>
      <c r="J29" s="5">
        <v>0</v>
      </c>
      <c r="K29" s="5">
        <v>0</v>
      </c>
      <c r="L29" s="5">
        <v>0</v>
      </c>
      <c r="M29" s="6"/>
      <c r="N29" s="6"/>
      <c r="O29" s="6">
        <v>0</v>
      </c>
      <c r="P29" s="6">
        <v>0</v>
      </c>
      <c r="Q29" s="6">
        <v>0</v>
      </c>
    </row>
    <row r="30" spans="2:17" ht="18" customHeight="1">
      <c r="B30" s="12">
        <v>45627</v>
      </c>
      <c r="C30" s="5">
        <v>2300</v>
      </c>
      <c r="D30" s="5">
        <v>1886</v>
      </c>
      <c r="E30" s="5">
        <v>2112.32</v>
      </c>
      <c r="F30" s="6">
        <v>0.82</v>
      </c>
      <c r="G30" s="6">
        <v>0.9184</v>
      </c>
      <c r="I30" s="13" t="s">
        <v>110</v>
      </c>
      <c r="J30" s="5">
        <v>0</v>
      </c>
      <c r="K30" s="5">
        <v>0</v>
      </c>
      <c r="L30" s="5">
        <v>0</v>
      </c>
      <c r="M30" s="6"/>
      <c r="N30" s="6"/>
      <c r="O30" s="6">
        <v>0</v>
      </c>
      <c r="P30" s="6">
        <v>0</v>
      </c>
      <c r="Q30" s="6">
        <v>0</v>
      </c>
    </row>
    <row r="31" spans="2:17" ht="18" customHeight="1">
      <c r="B31" s="12">
        <v>45658</v>
      </c>
      <c r="C31" s="5">
        <v>2320</v>
      </c>
      <c r="D31" s="5">
        <v>1902.4</v>
      </c>
      <c r="E31" s="5">
        <v>2130.688</v>
      </c>
      <c r="F31" s="6">
        <v>0.8200000000000001</v>
      </c>
      <c r="G31" s="6">
        <v>0.9184</v>
      </c>
      <c r="I31" s="13" t="s">
        <v>111</v>
      </c>
      <c r="J31" s="5">
        <v>0</v>
      </c>
      <c r="K31" s="5">
        <v>0</v>
      </c>
      <c r="L31" s="5">
        <v>0</v>
      </c>
      <c r="M31" s="6"/>
      <c r="N31" s="6"/>
      <c r="O31" s="6">
        <v>0</v>
      </c>
      <c r="P31" s="6">
        <v>0</v>
      </c>
      <c r="Q31" s="6">
        <v>0</v>
      </c>
    </row>
    <row r="32" spans="2:17" ht="18" customHeight="1">
      <c r="B32" s="12">
        <v>45689</v>
      </c>
      <c r="C32" s="5">
        <v>2340</v>
      </c>
      <c r="D32" s="5">
        <v>1918.8</v>
      </c>
      <c r="E32" s="5">
        <v>2149.056</v>
      </c>
      <c r="F32" s="6">
        <v>0.8200000000000001</v>
      </c>
      <c r="G32" s="6">
        <v>0.9183999999999999</v>
      </c>
      <c r="I32" s="13" t="s">
        <v>112</v>
      </c>
      <c r="J32" s="5">
        <v>0</v>
      </c>
      <c r="K32" s="5">
        <v>0</v>
      </c>
      <c r="L32" s="5">
        <v>0</v>
      </c>
      <c r="M32" s="6"/>
      <c r="N32" s="6"/>
      <c r="O32" s="6">
        <v>0</v>
      </c>
      <c r="P32" s="6">
        <v>0</v>
      </c>
      <c r="Q32" s="6">
        <v>0</v>
      </c>
    </row>
    <row r="33" spans="2:17" ht="18" customHeight="1">
      <c r="B33" s="12">
        <v>45717</v>
      </c>
      <c r="C33" s="5">
        <v>2360</v>
      </c>
      <c r="D33" s="5">
        <v>1935.2</v>
      </c>
      <c r="E33" s="5">
        <v>2167.424</v>
      </c>
      <c r="F33" s="6">
        <v>0.82</v>
      </c>
      <c r="G33" s="6">
        <v>0.9184</v>
      </c>
      <c r="I33" s="13" t="s">
        <v>113</v>
      </c>
      <c r="J33" s="5">
        <v>0</v>
      </c>
      <c r="K33" s="5">
        <v>0</v>
      </c>
      <c r="L33" s="5">
        <v>0</v>
      </c>
      <c r="M33" s="6"/>
      <c r="N33" s="6"/>
      <c r="O33" s="6">
        <v>0</v>
      </c>
      <c r="P33" s="6">
        <v>0</v>
      </c>
      <c r="Q33" s="6">
        <v>0</v>
      </c>
    </row>
    <row r="34" spans="2:17" ht="18" customHeight="1">
      <c r="B34" s="12">
        <v>45748</v>
      </c>
      <c r="C34" s="5">
        <v>2380</v>
      </c>
      <c r="D34" s="5">
        <v>1951.6</v>
      </c>
      <c r="E34" s="5">
        <v>2185.792</v>
      </c>
      <c r="F34" s="6">
        <v>0.82</v>
      </c>
      <c r="G34" s="6">
        <v>0.9184</v>
      </c>
      <c r="I34" s="13" t="s">
        <v>114</v>
      </c>
      <c r="J34" s="5">
        <v>0</v>
      </c>
      <c r="K34" s="5">
        <v>0</v>
      </c>
      <c r="L34" s="5">
        <v>0</v>
      </c>
      <c r="M34" s="6"/>
      <c r="N34" s="6"/>
      <c r="O34" s="6">
        <v>0</v>
      </c>
      <c r="P34" s="6">
        <v>0</v>
      </c>
      <c r="Q34" s="6">
        <v>0</v>
      </c>
    </row>
    <row r="35" spans="2:17" ht="18" customHeight="1">
      <c r="B35" s="12">
        <v>45778</v>
      </c>
      <c r="C35" s="5">
        <v>2400</v>
      </c>
      <c r="D35" s="5">
        <v>1968</v>
      </c>
      <c r="E35" s="5">
        <v>2204.16</v>
      </c>
      <c r="F35" s="6">
        <v>0.82</v>
      </c>
      <c r="G35" s="6">
        <v>0.9183999999999999</v>
      </c>
      <c r="I35" s="13" t="s">
        <v>115</v>
      </c>
      <c r="J35" s="5">
        <v>0</v>
      </c>
      <c r="K35" s="5">
        <v>0</v>
      </c>
      <c r="L35" s="5">
        <v>0</v>
      </c>
      <c r="M35" s="6"/>
      <c r="N35" s="6"/>
      <c r="O35" s="6">
        <v>0</v>
      </c>
      <c r="P35" s="6">
        <v>0</v>
      </c>
      <c r="Q35" s="6">
        <v>0</v>
      </c>
    </row>
    <row r="36" spans="2:17" ht="18" customHeight="1">
      <c r="B36" s="12">
        <v>45809</v>
      </c>
      <c r="C36" s="5">
        <v>2420</v>
      </c>
      <c r="D36" s="5">
        <v>1984.4</v>
      </c>
      <c r="E36" s="5">
        <v>2222.528</v>
      </c>
      <c r="F36" s="6">
        <v>0.8200000000000001</v>
      </c>
      <c r="G36" s="6">
        <v>0.9184</v>
      </c>
      <c r="I36" s="13" t="s">
        <v>116</v>
      </c>
      <c r="J36" s="5">
        <v>0</v>
      </c>
      <c r="K36" s="5">
        <v>0</v>
      </c>
      <c r="L36" s="5">
        <v>0</v>
      </c>
      <c r="M36" s="6"/>
      <c r="N36" s="6"/>
      <c r="O36" s="6">
        <v>0</v>
      </c>
      <c r="P36" s="6">
        <v>0</v>
      </c>
      <c r="Q36" s="6">
        <v>0</v>
      </c>
    </row>
    <row r="37" spans="2:17" ht="18" customHeight="1">
      <c r="B37" s="12">
        <v>45839</v>
      </c>
      <c r="C37" s="5">
        <v>2440</v>
      </c>
      <c r="D37" s="5">
        <v>2000.8</v>
      </c>
      <c r="E37" s="5">
        <v>2240.896</v>
      </c>
      <c r="F37" s="6">
        <v>0.8200000000000001</v>
      </c>
      <c r="G37" s="6">
        <v>0.9184</v>
      </c>
      <c r="I37" s="13" t="s">
        <v>117</v>
      </c>
      <c r="J37" s="5">
        <v>29160</v>
      </c>
      <c r="K37" s="5">
        <v>23911.2</v>
      </c>
      <c r="L37" s="5">
        <v>26780.544</v>
      </c>
      <c r="M37" s="6">
        <v>0.8200000000000001</v>
      </c>
      <c r="N37" s="6">
        <v>0.9184000000000001</v>
      </c>
      <c r="O37" s="6">
        <v>1</v>
      </c>
      <c r="P37" s="6">
        <v>1</v>
      </c>
      <c r="Q37" s="6">
        <v>1</v>
      </c>
    </row>
    <row r="38" spans="2:17" ht="18" customHeight="1">
      <c r="B38" s="12">
        <v>45870</v>
      </c>
      <c r="C38" s="5">
        <v>2460</v>
      </c>
      <c r="D38" s="5">
        <v>2017.2</v>
      </c>
      <c r="E38" s="5">
        <v>2259.264</v>
      </c>
      <c r="F38" s="6">
        <v>0.82</v>
      </c>
      <c r="G38" s="6">
        <v>0.9184</v>
      </c>
      <c r="I38" s="13" t="s">
        <v>118</v>
      </c>
      <c r="J38" s="5">
        <v>0</v>
      </c>
      <c r="K38" s="5">
        <v>0</v>
      </c>
      <c r="L38" s="5">
        <v>0</v>
      </c>
      <c r="M38" s="6"/>
      <c r="N38" s="6"/>
      <c r="O38" s="6">
        <v>0</v>
      </c>
      <c r="P38" s="6">
        <v>0</v>
      </c>
      <c r="Q38" s="6">
        <v>0</v>
      </c>
    </row>
    <row r="39" spans="2:17" ht="18" customHeight="1">
      <c r="B39" s="12">
        <v>45901</v>
      </c>
      <c r="C39" s="5">
        <v>2480</v>
      </c>
      <c r="D39" s="5">
        <v>2033.6</v>
      </c>
      <c r="E39" s="5">
        <v>2277.632</v>
      </c>
      <c r="F39" s="6">
        <v>0.82</v>
      </c>
      <c r="G39" s="6">
        <v>0.9184</v>
      </c>
      <c r="I39" s="13" t="s">
        <v>119</v>
      </c>
      <c r="J39" s="5">
        <v>29160</v>
      </c>
      <c r="K39" s="5">
        <v>23911.2</v>
      </c>
      <c r="L39" s="5">
        <v>26780.544</v>
      </c>
      <c r="M39" s="6">
        <v>0.8200000000000001</v>
      </c>
      <c r="N39" s="6">
        <v>0.9184000000000001</v>
      </c>
      <c r="O39" s="6">
        <v>1</v>
      </c>
      <c r="P39" s="6">
        <v>1</v>
      </c>
      <c r="Q39" s="6">
        <v>1</v>
      </c>
    </row>
    <row r="40" spans="2:17" ht="18" customHeight="1">
      <c r="B40" s="12">
        <v>45931</v>
      </c>
      <c r="C40" s="5">
        <v>2500</v>
      </c>
      <c r="D40" s="5">
        <v>2050</v>
      </c>
      <c r="E40" s="5">
        <v>2296</v>
      </c>
      <c r="F40" s="6">
        <v>0.82</v>
      </c>
      <c r="G40" s="6">
        <v>0.9184</v>
      </c>
    </row>
    <row r="41" spans="2:17" ht="18" customHeight="1">
      <c r="B41" s="12">
        <v>45962</v>
      </c>
      <c r="C41" s="5">
        <v>2520</v>
      </c>
      <c r="D41" s="5">
        <v>2066.4</v>
      </c>
      <c r="E41" s="5">
        <v>2314.368</v>
      </c>
      <c r="F41" s="6">
        <v>0.8200000000000001</v>
      </c>
      <c r="G41" s="6">
        <v>0.9184</v>
      </c>
    </row>
    <row r="42" spans="2:17" ht="18" customHeight="1">
      <c r="B42" s="12">
        <v>45992</v>
      </c>
      <c r="C42" s="5">
        <v>2540</v>
      </c>
      <c r="D42" s="5">
        <v>2082.8</v>
      </c>
      <c r="E42" s="5">
        <v>2332.736</v>
      </c>
      <c r="F42" s="6">
        <v>0.8200000000000001</v>
      </c>
      <c r="G42" s="6">
        <v>0.9184000000000001</v>
      </c>
    </row>
    <row r="63" spans="2:10" ht="18" customHeight="1">
      <c r="B63" s="2" t="s">
        <v>120</v>
      </c>
      <c r="C63" s="2"/>
      <c r="D63" s="2"/>
      <c r="E63" s="2"/>
      <c r="G63" s="2" t="s">
        <v>121</v>
      </c>
      <c r="H63" s="2"/>
      <c r="I63" s="2"/>
      <c r="J63" s="2"/>
    </row>
    <row r="64" spans="2:10" ht="18" customHeight="1">
      <c r="B64" s="2" t="s">
        <v>91</v>
      </c>
      <c r="C64" s="2" t="s">
        <v>10</v>
      </c>
      <c r="D64" s="2" t="s">
        <v>11</v>
      </c>
      <c r="E64" s="2" t="s">
        <v>15</v>
      </c>
      <c r="G64" s="2" t="s">
        <v>91</v>
      </c>
      <c r="H64" s="2" t="s">
        <v>10</v>
      </c>
      <c r="I64" s="2" t="s">
        <v>12</v>
      </c>
      <c r="J64" s="2" t="s">
        <v>16</v>
      </c>
    </row>
    <row r="65" spans="2:10" ht="18" customHeight="1">
      <c r="B65" s="12">
        <v>45292</v>
      </c>
      <c r="C65" s="5"/>
      <c r="D65" s="5"/>
      <c r="E65" s="6"/>
      <c r="G65" s="12">
        <v>45292</v>
      </c>
      <c r="H65" s="5"/>
      <c r="I65" s="5"/>
      <c r="J65" s="6"/>
    </row>
    <row r="66" spans="2:10" ht="18" customHeight="1">
      <c r="B66" s="12">
        <v>45323</v>
      </c>
      <c r="C66" s="5"/>
      <c r="D66" s="5"/>
      <c r="E66" s="6"/>
      <c r="G66" s="12">
        <v>45323</v>
      </c>
      <c r="H66" s="5"/>
      <c r="I66" s="5"/>
      <c r="J66" s="6"/>
    </row>
    <row r="67" spans="2:10" ht="18" customHeight="1">
      <c r="B67" s="12">
        <v>45352</v>
      </c>
      <c r="C67" s="5"/>
      <c r="D67" s="5"/>
      <c r="E67" s="6"/>
      <c r="G67" s="12">
        <v>45352</v>
      </c>
      <c r="H67" s="5"/>
      <c r="I67" s="5"/>
      <c r="J67" s="6"/>
    </row>
    <row r="68" spans="2:10" ht="18" customHeight="1">
      <c r="B68" s="12">
        <v>45383</v>
      </c>
      <c r="C68" s="5"/>
      <c r="D68" s="5"/>
      <c r="E68" s="6"/>
      <c r="G68" s="12">
        <v>45383</v>
      </c>
      <c r="H68" s="5"/>
      <c r="I68" s="5"/>
      <c r="J68" s="6"/>
    </row>
    <row r="69" spans="2:10" ht="18" customHeight="1">
      <c r="B69" s="12">
        <v>45413</v>
      </c>
      <c r="C69" s="5"/>
      <c r="D69" s="5"/>
      <c r="E69" s="6"/>
      <c r="G69" s="12">
        <v>45413</v>
      </c>
      <c r="H69" s="5"/>
      <c r="I69" s="5"/>
      <c r="J69" s="6"/>
    </row>
    <row r="70" spans="2:10" ht="18" customHeight="1">
      <c r="B70" s="12">
        <v>45444</v>
      </c>
      <c r="C70" s="5"/>
      <c r="D70" s="5"/>
      <c r="E70" s="6"/>
      <c r="G70" s="12">
        <v>45444</v>
      </c>
      <c r="H70" s="5"/>
      <c r="I70" s="5"/>
      <c r="J70" s="6"/>
    </row>
    <row r="71" spans="2:10" ht="18" customHeight="1">
      <c r="B71" s="12">
        <v>45474</v>
      </c>
      <c r="C71" s="5"/>
      <c r="D71" s="5"/>
      <c r="E71" s="6"/>
      <c r="G71" s="12">
        <v>45474</v>
      </c>
      <c r="H71" s="5"/>
      <c r="I71" s="5"/>
      <c r="J71" s="6"/>
    </row>
    <row r="72" spans="2:10" ht="18" customHeight="1">
      <c r="B72" s="12">
        <v>45505</v>
      </c>
      <c r="C72" s="5"/>
      <c r="D72" s="5"/>
      <c r="E72" s="6"/>
      <c r="G72" s="12">
        <v>45505</v>
      </c>
      <c r="H72" s="5"/>
      <c r="I72" s="5"/>
      <c r="J72" s="6"/>
    </row>
    <row r="73" spans="2:10" ht="18" customHeight="1">
      <c r="B73" s="12">
        <v>45536</v>
      </c>
      <c r="C73" s="5"/>
      <c r="D73" s="5"/>
      <c r="E73" s="6"/>
      <c r="G73" s="12">
        <v>45536</v>
      </c>
      <c r="H73" s="5"/>
      <c r="I73" s="5"/>
      <c r="J73" s="6"/>
    </row>
    <row r="74" spans="2:10" ht="18" customHeight="1">
      <c r="B74" s="12">
        <v>45566</v>
      </c>
      <c r="C74" s="5"/>
      <c r="D74" s="5"/>
      <c r="E74" s="6"/>
      <c r="G74" s="12">
        <v>45566</v>
      </c>
      <c r="H74" s="5"/>
      <c r="I74" s="5"/>
      <c r="J74" s="6"/>
    </row>
    <row r="75" spans="2:10" ht="18" customHeight="1">
      <c r="B75" s="12">
        <v>45597</v>
      </c>
      <c r="C75" s="5"/>
      <c r="D75" s="5"/>
      <c r="E75" s="6"/>
      <c r="G75" s="12">
        <v>45597</v>
      </c>
      <c r="H75" s="5"/>
      <c r="I75" s="5"/>
      <c r="J75" s="6"/>
    </row>
    <row r="76" spans="2:10" ht="18" customHeight="1">
      <c r="B76" s="12">
        <v>45627</v>
      </c>
      <c r="C76" s="5">
        <v>26280</v>
      </c>
      <c r="D76" s="5">
        <v>21549.6</v>
      </c>
      <c r="E76" s="6">
        <v>0.82</v>
      </c>
      <c r="G76" s="12">
        <v>45627</v>
      </c>
      <c r="H76" s="5">
        <v>26280</v>
      </c>
      <c r="I76" s="5">
        <v>24135.552</v>
      </c>
      <c r="J76" s="6">
        <v>0.9184</v>
      </c>
    </row>
    <row r="77" spans="2:10" ht="18" customHeight="1">
      <c r="B77" s="12">
        <v>45658</v>
      </c>
      <c r="C77" s="5">
        <v>26520</v>
      </c>
      <c r="D77" s="5">
        <v>21746.4</v>
      </c>
      <c r="E77" s="6">
        <v>0.8200000000000001</v>
      </c>
      <c r="G77" s="12">
        <v>45658</v>
      </c>
      <c r="H77" s="5">
        <v>26520</v>
      </c>
      <c r="I77" s="5">
        <v>24355.968</v>
      </c>
      <c r="J77" s="6">
        <v>0.9184</v>
      </c>
    </row>
    <row r="78" spans="2:10" ht="18" customHeight="1">
      <c r="B78" s="12">
        <v>45689</v>
      </c>
      <c r="C78" s="5">
        <v>26760</v>
      </c>
      <c r="D78" s="5">
        <v>21943.2</v>
      </c>
      <c r="E78" s="6">
        <v>0.8200000000000001</v>
      </c>
      <c r="G78" s="12">
        <v>45689</v>
      </c>
      <c r="H78" s="5">
        <v>26760</v>
      </c>
      <c r="I78" s="5">
        <v>24576.384</v>
      </c>
      <c r="J78" s="6">
        <v>0.9183999999999999</v>
      </c>
    </row>
    <row r="79" spans="2:10" ht="18" customHeight="1">
      <c r="B79" s="12">
        <v>45717</v>
      </c>
      <c r="C79" s="5">
        <v>27000</v>
      </c>
      <c r="D79" s="5">
        <v>22140</v>
      </c>
      <c r="E79" s="6">
        <v>0.82</v>
      </c>
      <c r="G79" s="12">
        <v>45717</v>
      </c>
      <c r="H79" s="5">
        <v>27000</v>
      </c>
      <c r="I79" s="5">
        <v>24796.8</v>
      </c>
      <c r="J79" s="6">
        <v>0.9184</v>
      </c>
    </row>
    <row r="80" spans="2:10" ht="18" customHeight="1">
      <c r="B80" s="12">
        <v>45748</v>
      </c>
      <c r="C80" s="5">
        <v>27240</v>
      </c>
      <c r="D80" s="5">
        <v>22336.8</v>
      </c>
      <c r="E80" s="6">
        <v>0.82</v>
      </c>
      <c r="G80" s="12">
        <v>45748</v>
      </c>
      <c r="H80" s="5">
        <v>27240</v>
      </c>
      <c r="I80" s="5">
        <v>25017.216</v>
      </c>
      <c r="J80" s="6">
        <v>0.9184</v>
      </c>
    </row>
    <row r="81" spans="2:16" ht="18" customHeight="1">
      <c r="B81" s="12">
        <v>45778</v>
      </c>
      <c r="C81" s="5">
        <v>27480</v>
      </c>
      <c r="D81" s="5">
        <v>22533.6</v>
      </c>
      <c r="E81" s="6">
        <v>0.82</v>
      </c>
      <c r="G81" s="12">
        <v>45778</v>
      </c>
      <c r="H81" s="5">
        <v>27480</v>
      </c>
      <c r="I81" s="5">
        <v>25237.632</v>
      </c>
      <c r="J81" s="6">
        <v>0.9183999999999999</v>
      </c>
    </row>
    <row r="82" spans="2:16" ht="18" customHeight="1">
      <c r="B82" s="12">
        <v>45809</v>
      </c>
      <c r="C82" s="5">
        <v>27720</v>
      </c>
      <c r="D82" s="5">
        <v>22730.4</v>
      </c>
      <c r="E82" s="6">
        <v>0.8200000000000001</v>
      </c>
      <c r="G82" s="12">
        <v>45809</v>
      </c>
      <c r="H82" s="5">
        <v>27720</v>
      </c>
      <c r="I82" s="5">
        <v>25458.048</v>
      </c>
      <c r="J82" s="6">
        <v>0.9184</v>
      </c>
    </row>
    <row r="83" spans="2:16" ht="18" customHeight="1">
      <c r="B83" s="12">
        <v>45839</v>
      </c>
      <c r="C83" s="5">
        <v>27960</v>
      </c>
      <c r="D83" s="5">
        <v>22927.2</v>
      </c>
      <c r="E83" s="6">
        <v>0.8200000000000001</v>
      </c>
      <c r="G83" s="12">
        <v>45839</v>
      </c>
      <c r="H83" s="5">
        <v>27960</v>
      </c>
      <c r="I83" s="5">
        <v>25678.464</v>
      </c>
      <c r="J83" s="6">
        <v>0.9184</v>
      </c>
    </row>
    <row r="84" spans="2:16" ht="18" customHeight="1">
      <c r="B84" s="12">
        <v>45870</v>
      </c>
      <c r="C84" s="5">
        <v>28200</v>
      </c>
      <c r="D84" s="5">
        <v>23124</v>
      </c>
      <c r="E84" s="6">
        <v>0.82</v>
      </c>
      <c r="G84" s="12">
        <v>45870</v>
      </c>
      <c r="H84" s="5">
        <v>28200</v>
      </c>
      <c r="I84" s="5">
        <v>25898.88</v>
      </c>
      <c r="J84" s="6">
        <v>0.9184</v>
      </c>
    </row>
    <row r="85" spans="2:16" ht="18" customHeight="1">
      <c r="B85" s="12">
        <v>45901</v>
      </c>
      <c r="C85" s="5">
        <v>28440</v>
      </c>
      <c r="D85" s="5">
        <v>23320.8</v>
      </c>
      <c r="E85" s="6">
        <v>0.82</v>
      </c>
      <c r="G85" s="12">
        <v>45901</v>
      </c>
      <c r="H85" s="5">
        <v>28440</v>
      </c>
      <c r="I85" s="5">
        <v>26119.296</v>
      </c>
      <c r="J85" s="6">
        <v>0.9184</v>
      </c>
    </row>
    <row r="86" spans="2:16" ht="18" customHeight="1">
      <c r="B86" s="12">
        <v>45931</v>
      </c>
      <c r="C86" s="5">
        <v>28680</v>
      </c>
      <c r="D86" s="5">
        <v>23517.6</v>
      </c>
      <c r="E86" s="6">
        <v>0.82</v>
      </c>
      <c r="G86" s="12">
        <v>45931</v>
      </c>
      <c r="H86" s="5">
        <v>28680</v>
      </c>
      <c r="I86" s="5">
        <v>26339.712</v>
      </c>
      <c r="J86" s="6">
        <v>0.9184</v>
      </c>
    </row>
    <row r="87" spans="2:16" ht="18" customHeight="1">
      <c r="B87" s="12">
        <v>45962</v>
      </c>
      <c r="C87" s="5">
        <v>28920</v>
      </c>
      <c r="D87" s="5">
        <v>23714.4</v>
      </c>
      <c r="E87" s="6">
        <v>0.8200000000000001</v>
      </c>
      <c r="G87" s="12">
        <v>45962</v>
      </c>
      <c r="H87" s="5">
        <v>28920</v>
      </c>
      <c r="I87" s="5">
        <v>26560.128</v>
      </c>
      <c r="J87" s="6">
        <v>0.9184</v>
      </c>
    </row>
    <row r="88" spans="2:16" ht="18" customHeight="1">
      <c r="B88" s="12">
        <v>45992</v>
      </c>
      <c r="C88" s="5">
        <v>29160</v>
      </c>
      <c r="D88" s="5">
        <v>23911.2</v>
      </c>
      <c r="E88" s="6">
        <v>0.8200000000000001</v>
      </c>
      <c r="G88" s="12">
        <v>45992</v>
      </c>
      <c r="H88" s="5">
        <v>29160</v>
      </c>
      <c r="I88" s="5">
        <v>26780.544</v>
      </c>
      <c r="J88" s="6">
        <v>0.9184000000000001</v>
      </c>
    </row>
    <row r="91" spans="2:16" ht="18" customHeight="1">
      <c r="B91" s="2" t="s">
        <v>122</v>
      </c>
      <c r="C91" s="2"/>
      <c r="D91" s="2"/>
      <c r="E91" s="2"/>
      <c r="F91" s="2"/>
      <c r="G91" s="2"/>
      <c r="H91" s="2"/>
      <c r="J91" s="2" t="s">
        <v>129</v>
      </c>
      <c r="K91" s="2"/>
      <c r="L91" s="2"/>
      <c r="M91" s="2"/>
      <c r="N91" s="2"/>
      <c r="O91" s="2"/>
      <c r="P91" s="2"/>
    </row>
    <row r="92" spans="2:16" ht="18" customHeight="1">
      <c r="B92" s="2" t="s">
        <v>123</v>
      </c>
      <c r="C92" s="2" t="s">
        <v>124</v>
      </c>
      <c r="D92" s="2" t="s">
        <v>10</v>
      </c>
      <c r="E92" s="2" t="s">
        <v>125</v>
      </c>
      <c r="F92" s="2" t="s">
        <v>126</v>
      </c>
      <c r="G92" s="2" t="s">
        <v>127</v>
      </c>
      <c r="H92" s="2" t="s">
        <v>71</v>
      </c>
      <c r="J92" s="2" t="s">
        <v>123</v>
      </c>
      <c r="K92" s="2" t="s">
        <v>124</v>
      </c>
      <c r="L92" s="2" t="s">
        <v>10</v>
      </c>
      <c r="M92" s="2" t="s">
        <v>125</v>
      </c>
      <c r="N92" s="2" t="s">
        <v>126</v>
      </c>
      <c r="O92" s="2" t="s">
        <v>127</v>
      </c>
      <c r="P92" s="2" t="s">
        <v>71</v>
      </c>
    </row>
    <row r="93" spans="2:16" ht="18" customHeight="1">
      <c r="B93" s="11" t="s">
        <v>128</v>
      </c>
      <c r="C93" s="11"/>
      <c r="D93" s="11"/>
      <c r="E93" s="11"/>
      <c r="F93" s="11"/>
      <c r="G93" s="11"/>
      <c r="H93" s="11"/>
      <c r="J93" s="11" t="s">
        <v>128</v>
      </c>
      <c r="K93" s="11"/>
      <c r="L93" s="11"/>
      <c r="M93" s="11"/>
      <c r="N93" s="11"/>
      <c r="O93" s="11"/>
      <c r="P93" s="11"/>
    </row>
  </sheetData>
  <mergeCells count="11">
    <mergeCell ref="B1:D2"/>
    <mergeCell ref="C6:F6"/>
    <mergeCell ref="H6:K6"/>
    <mergeCell ref="B12:D12"/>
    <mergeCell ref="H12:K12"/>
    <mergeCell ref="B63:E63"/>
    <mergeCell ref="G63:J63"/>
    <mergeCell ref="B91:H91"/>
    <mergeCell ref="B93:H93"/>
    <mergeCell ref="J91:P91"/>
    <mergeCell ref="J93:P93"/>
  </mergeCells>
  <hyperlinks>
    <hyperlink ref="L1" location="'Resumo Categorias'!A1" display="Voltar ao Resumo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Q93"/>
  <sheetViews>
    <sheetView workbookViewId="0"/>
  </sheetViews>
  <sheetFormatPr defaultRowHeight="18" customHeight="1"/>
  <cols>
    <col min="1" max="1" width="3.42578125" customWidth="1"/>
    <col min="2" max="11" width="12.7109375" customWidth="1"/>
    <col min="12" max="16" width="16.7109375" customWidth="1"/>
  </cols>
  <sheetData>
    <row r="1" spans="2:12" ht="18" customHeight="1">
      <c r="B1" s="7" t="s">
        <v>69</v>
      </c>
      <c r="C1" s="7"/>
      <c r="D1" s="7"/>
      <c r="E1" s="8" t="s">
        <v>70</v>
      </c>
      <c r="G1" s="8" t="s">
        <v>71</v>
      </c>
      <c r="L1" s="9" t="s">
        <v>68</v>
      </c>
    </row>
    <row r="2" spans="2:12" ht="18" customHeight="1">
      <c r="B2" s="7"/>
      <c r="C2" s="7"/>
      <c r="D2" s="7"/>
      <c r="E2" s="10" t="s">
        <v>67</v>
      </c>
      <c r="G2" s="10" t="s">
        <v>72</v>
      </c>
    </row>
    <row r="6" spans="2:12" ht="18" customHeight="1">
      <c r="B6" s="2" t="s">
        <v>73</v>
      </c>
      <c r="C6" s="2" t="s">
        <v>74</v>
      </c>
      <c r="D6" s="2"/>
      <c r="E6" s="2"/>
      <c r="F6" s="2"/>
      <c r="H6" s="2" t="s">
        <v>82</v>
      </c>
      <c r="I6" s="2"/>
      <c r="J6" s="2"/>
      <c r="K6" s="2"/>
    </row>
    <row r="7" spans="2:12" ht="18" customHeight="1">
      <c r="B7" s="2" t="s">
        <v>75</v>
      </c>
      <c r="C7" s="3"/>
      <c r="D7" s="2" t="s">
        <v>76</v>
      </c>
      <c r="E7" s="2" t="s">
        <v>77</v>
      </c>
      <c r="F7" s="2" t="s">
        <v>78</v>
      </c>
      <c r="H7" s="3"/>
      <c r="I7" s="2" t="s">
        <v>83</v>
      </c>
      <c r="J7" s="2" t="s">
        <v>84</v>
      </c>
      <c r="K7" s="2" t="s">
        <v>78</v>
      </c>
    </row>
    <row r="8" spans="2:12" ht="18" customHeight="1">
      <c r="C8" s="11" t="s">
        <v>79</v>
      </c>
      <c r="D8" s="5">
        <v>31080</v>
      </c>
      <c r="E8" s="5">
        <v>33960</v>
      </c>
      <c r="F8" s="6">
        <v>0.0926640926640927</v>
      </c>
      <c r="H8" s="11" t="s">
        <v>79</v>
      </c>
      <c r="I8" s="5">
        <v>16620</v>
      </c>
      <c r="J8" s="5">
        <v>17340</v>
      </c>
      <c r="K8" s="6">
        <v>0.04332129963898912</v>
      </c>
    </row>
    <row r="9" spans="2:12" ht="18" customHeight="1">
      <c r="C9" s="11" t="s">
        <v>80</v>
      </c>
      <c r="D9" s="5">
        <v>25485.6</v>
      </c>
      <c r="E9" s="5">
        <v>27847.2</v>
      </c>
      <c r="F9" s="6">
        <v>0.0926640926640927</v>
      </c>
      <c r="H9" s="11" t="s">
        <v>80</v>
      </c>
      <c r="I9" s="5">
        <v>13628.4</v>
      </c>
      <c r="J9" s="5">
        <v>14218.8</v>
      </c>
      <c r="K9" s="6">
        <v>0.04332129963898912</v>
      </c>
    </row>
    <row r="10" spans="2:12" ht="18" customHeight="1">
      <c r="C10" s="11" t="s">
        <v>81</v>
      </c>
      <c r="D10" s="5">
        <v>28543.872</v>
      </c>
      <c r="E10" s="5">
        <v>31188.864</v>
      </c>
      <c r="F10" s="6">
        <v>0.0926640926640927</v>
      </c>
      <c r="H10" s="11" t="s">
        <v>81</v>
      </c>
      <c r="I10" s="5">
        <v>15263.808</v>
      </c>
      <c r="J10" s="5">
        <v>15925.056</v>
      </c>
      <c r="K10" s="6">
        <v>0.04332129963898912</v>
      </c>
    </row>
    <row r="12" spans="2:12" ht="18" customHeight="1">
      <c r="B12" s="2" t="s">
        <v>85</v>
      </c>
      <c r="C12" s="2"/>
      <c r="D12" s="2"/>
      <c r="H12" s="2" t="s">
        <v>88</v>
      </c>
      <c r="I12" s="2"/>
      <c r="J12" s="2"/>
      <c r="K12" s="2"/>
    </row>
    <row r="13" spans="2:12" ht="18" customHeight="1">
      <c r="C13" s="2" t="s">
        <v>86</v>
      </c>
      <c r="D13" s="2" t="s">
        <v>87</v>
      </c>
      <c r="I13" s="2" t="s">
        <v>89</v>
      </c>
      <c r="J13" s="2" t="s">
        <v>90</v>
      </c>
      <c r="K13" s="2" t="s">
        <v>78</v>
      </c>
    </row>
    <row r="14" spans="2:12" ht="18" customHeight="1">
      <c r="B14" s="11" t="s">
        <v>79</v>
      </c>
      <c r="C14" s="12">
        <v>45658</v>
      </c>
      <c r="D14" s="12">
        <v>45992</v>
      </c>
      <c r="H14" s="11" t="s">
        <v>79</v>
      </c>
      <c r="I14" s="5">
        <v>31080</v>
      </c>
      <c r="J14" s="5">
        <v>33960</v>
      </c>
      <c r="K14" s="6">
        <v>0.0926640926640927</v>
      </c>
    </row>
    <row r="15" spans="2:12" ht="18" customHeight="1">
      <c r="B15" s="11" t="s">
        <v>80</v>
      </c>
      <c r="C15" s="12">
        <v>45658</v>
      </c>
      <c r="D15" s="12">
        <v>45992</v>
      </c>
      <c r="H15" s="11" t="s">
        <v>80</v>
      </c>
      <c r="I15" s="5">
        <v>25485.6</v>
      </c>
      <c r="J15" s="5">
        <v>27847.2</v>
      </c>
      <c r="K15" s="6">
        <v>0.0926640926640927</v>
      </c>
    </row>
    <row r="16" spans="2:12" ht="18" customHeight="1">
      <c r="B16" s="11" t="s">
        <v>81</v>
      </c>
      <c r="C16" s="12">
        <v>45658</v>
      </c>
      <c r="D16" s="12">
        <v>45992</v>
      </c>
      <c r="H16" s="11" t="s">
        <v>81</v>
      </c>
      <c r="I16" s="5">
        <v>28543.872</v>
      </c>
      <c r="J16" s="5">
        <v>31188.864</v>
      </c>
      <c r="K16" s="6">
        <v>0.0926640926640927</v>
      </c>
    </row>
    <row r="18" spans="2:17" ht="18" customHeight="1">
      <c r="B18" s="2" t="s">
        <v>91</v>
      </c>
      <c r="C18" s="2" t="s">
        <v>10</v>
      </c>
      <c r="D18" s="2" t="s">
        <v>11</v>
      </c>
      <c r="E18" s="2" t="s">
        <v>12</v>
      </c>
      <c r="F18" s="2" t="s">
        <v>15</v>
      </c>
      <c r="G18" s="2" t="s">
        <v>16</v>
      </c>
      <c r="I18" s="2" t="s">
        <v>92</v>
      </c>
      <c r="J18" s="2" t="s">
        <v>93</v>
      </c>
      <c r="K18" s="2" t="s">
        <v>94</v>
      </c>
      <c r="L18" s="2" t="s">
        <v>95</v>
      </c>
      <c r="M18" s="2" t="s">
        <v>15</v>
      </c>
      <c r="N18" s="2" t="s">
        <v>16</v>
      </c>
      <c r="O18" s="2" t="s">
        <v>96</v>
      </c>
      <c r="P18" s="2" t="s">
        <v>97</v>
      </c>
      <c r="Q18" s="2" t="s">
        <v>98</v>
      </c>
    </row>
    <row r="19" spans="2:17" ht="18" customHeight="1">
      <c r="B19" s="12">
        <v>45292</v>
      </c>
      <c r="C19" s="5">
        <v>2480</v>
      </c>
      <c r="D19" s="5">
        <v>2033.6</v>
      </c>
      <c r="E19" s="5">
        <v>2277.632</v>
      </c>
      <c r="F19" s="6"/>
      <c r="G19" s="6"/>
      <c r="I19" s="13" t="s">
        <v>99</v>
      </c>
      <c r="J19" s="5">
        <v>0</v>
      </c>
      <c r="K19" s="5">
        <v>0</v>
      </c>
      <c r="L19" s="5">
        <v>0</v>
      </c>
      <c r="M19" s="6"/>
      <c r="N19" s="6"/>
      <c r="O19" s="6">
        <v>0</v>
      </c>
      <c r="P19" s="6">
        <v>0</v>
      </c>
      <c r="Q19" s="6">
        <v>0</v>
      </c>
    </row>
    <row r="20" spans="2:17" ht="18" customHeight="1">
      <c r="B20" s="12">
        <v>45323</v>
      </c>
      <c r="C20" s="5">
        <v>2500</v>
      </c>
      <c r="D20" s="5">
        <v>2050</v>
      </c>
      <c r="E20" s="5">
        <v>2296</v>
      </c>
      <c r="F20" s="6"/>
      <c r="G20" s="6"/>
      <c r="I20" s="13" t="s">
        <v>100</v>
      </c>
      <c r="J20" s="5">
        <v>0</v>
      </c>
      <c r="K20" s="5">
        <v>0</v>
      </c>
      <c r="L20" s="5">
        <v>0</v>
      </c>
      <c r="M20" s="6"/>
      <c r="N20" s="6"/>
      <c r="O20" s="6">
        <v>0</v>
      </c>
      <c r="P20" s="6">
        <v>0</v>
      </c>
      <c r="Q20" s="6">
        <v>0</v>
      </c>
    </row>
    <row r="21" spans="2:17" ht="18" customHeight="1">
      <c r="B21" s="12">
        <v>45352</v>
      </c>
      <c r="C21" s="5">
        <v>2520</v>
      </c>
      <c r="D21" s="5">
        <v>2066.4</v>
      </c>
      <c r="E21" s="5">
        <v>2314.368</v>
      </c>
      <c r="F21" s="6"/>
      <c r="G21" s="6"/>
      <c r="I21" s="13" t="s">
        <v>101</v>
      </c>
      <c r="J21" s="5">
        <v>0</v>
      </c>
      <c r="K21" s="5">
        <v>0</v>
      </c>
      <c r="L21" s="5">
        <v>0</v>
      </c>
      <c r="M21" s="6"/>
      <c r="N21" s="6"/>
      <c r="O21" s="6">
        <v>0</v>
      </c>
      <c r="P21" s="6">
        <v>0</v>
      </c>
      <c r="Q21" s="6">
        <v>0</v>
      </c>
    </row>
    <row r="22" spans="2:17" ht="18" customHeight="1">
      <c r="B22" s="12">
        <v>45383</v>
      </c>
      <c r="C22" s="5">
        <v>2540</v>
      </c>
      <c r="D22" s="5">
        <v>2082.8</v>
      </c>
      <c r="E22" s="5">
        <v>2332.736</v>
      </c>
      <c r="F22" s="6"/>
      <c r="G22" s="6"/>
      <c r="I22" s="13" t="s">
        <v>102</v>
      </c>
      <c r="J22" s="5">
        <v>0</v>
      </c>
      <c r="K22" s="5">
        <v>0</v>
      </c>
      <c r="L22" s="5">
        <v>0</v>
      </c>
      <c r="M22" s="6"/>
      <c r="N22" s="6"/>
      <c r="O22" s="6">
        <v>0</v>
      </c>
      <c r="P22" s="6">
        <v>0</v>
      </c>
      <c r="Q22" s="6">
        <v>0</v>
      </c>
    </row>
    <row r="23" spans="2:17" ht="18" customHeight="1">
      <c r="B23" s="12">
        <v>45413</v>
      </c>
      <c r="C23" s="5">
        <v>2560</v>
      </c>
      <c r="D23" s="5">
        <v>2099.2</v>
      </c>
      <c r="E23" s="5">
        <v>2351.104</v>
      </c>
      <c r="F23" s="6"/>
      <c r="G23" s="6"/>
      <c r="I23" s="13" t="s">
        <v>103</v>
      </c>
      <c r="J23" s="5">
        <v>0</v>
      </c>
      <c r="K23" s="5">
        <v>0</v>
      </c>
      <c r="L23" s="5">
        <v>0</v>
      </c>
      <c r="M23" s="6"/>
      <c r="N23" s="6"/>
      <c r="O23" s="6">
        <v>0</v>
      </c>
      <c r="P23" s="6">
        <v>0</v>
      </c>
      <c r="Q23" s="6">
        <v>0</v>
      </c>
    </row>
    <row r="24" spans="2:17" ht="18" customHeight="1">
      <c r="B24" s="12">
        <v>45444</v>
      </c>
      <c r="C24" s="5">
        <v>2580</v>
      </c>
      <c r="D24" s="5">
        <v>2115.6</v>
      </c>
      <c r="E24" s="5">
        <v>2369.472</v>
      </c>
      <c r="F24" s="6"/>
      <c r="G24" s="6"/>
      <c r="I24" s="13" t="s">
        <v>104</v>
      </c>
      <c r="J24" s="5">
        <v>0</v>
      </c>
      <c r="K24" s="5">
        <v>0</v>
      </c>
      <c r="L24" s="5">
        <v>0</v>
      </c>
      <c r="M24" s="6"/>
      <c r="N24" s="6"/>
      <c r="O24" s="6">
        <v>0</v>
      </c>
      <c r="P24" s="6">
        <v>0</v>
      </c>
      <c r="Q24" s="6">
        <v>0</v>
      </c>
    </row>
    <row r="25" spans="2:17" ht="18" customHeight="1">
      <c r="B25" s="12">
        <v>45474</v>
      </c>
      <c r="C25" s="5">
        <v>2600</v>
      </c>
      <c r="D25" s="5">
        <v>2132</v>
      </c>
      <c r="E25" s="5">
        <v>2387.84</v>
      </c>
      <c r="F25" s="6"/>
      <c r="G25" s="6"/>
      <c r="I25" s="13" t="s">
        <v>105</v>
      </c>
      <c r="J25" s="5">
        <v>0</v>
      </c>
      <c r="K25" s="5">
        <v>0</v>
      </c>
      <c r="L25" s="5">
        <v>0</v>
      </c>
      <c r="M25" s="6"/>
      <c r="N25" s="6"/>
      <c r="O25" s="6">
        <v>0</v>
      </c>
      <c r="P25" s="6">
        <v>0</v>
      </c>
      <c r="Q25" s="6">
        <v>0</v>
      </c>
    </row>
    <row r="26" spans="2:17" ht="18" customHeight="1">
      <c r="B26" s="12">
        <v>45505</v>
      </c>
      <c r="C26" s="5">
        <v>2620</v>
      </c>
      <c r="D26" s="5">
        <v>2148.4</v>
      </c>
      <c r="E26" s="5">
        <v>2406.208</v>
      </c>
      <c r="F26" s="6"/>
      <c r="G26" s="6"/>
      <c r="I26" s="13" t="s">
        <v>106</v>
      </c>
      <c r="J26" s="5">
        <v>0</v>
      </c>
      <c r="K26" s="5">
        <v>0</v>
      </c>
      <c r="L26" s="5">
        <v>0</v>
      </c>
      <c r="M26" s="6"/>
      <c r="N26" s="6"/>
      <c r="O26" s="6">
        <v>0</v>
      </c>
      <c r="P26" s="6">
        <v>0</v>
      </c>
      <c r="Q26" s="6">
        <v>0</v>
      </c>
    </row>
    <row r="27" spans="2:17" ht="18" customHeight="1">
      <c r="B27" s="12">
        <v>45536</v>
      </c>
      <c r="C27" s="5">
        <v>2640</v>
      </c>
      <c r="D27" s="5">
        <v>2164.8</v>
      </c>
      <c r="E27" s="5">
        <v>2424.576</v>
      </c>
      <c r="F27" s="6"/>
      <c r="G27" s="6"/>
      <c r="I27" s="13" t="s">
        <v>107</v>
      </c>
      <c r="J27" s="5">
        <v>0</v>
      </c>
      <c r="K27" s="5">
        <v>0</v>
      </c>
      <c r="L27" s="5">
        <v>0</v>
      </c>
      <c r="M27" s="6"/>
      <c r="N27" s="6"/>
      <c r="O27" s="6">
        <v>0</v>
      </c>
      <c r="P27" s="6">
        <v>0</v>
      </c>
      <c r="Q27" s="6">
        <v>0</v>
      </c>
    </row>
    <row r="28" spans="2:17" ht="18" customHeight="1">
      <c r="B28" s="12">
        <v>45566</v>
      </c>
      <c r="C28" s="5">
        <v>2660</v>
      </c>
      <c r="D28" s="5">
        <v>2181.2</v>
      </c>
      <c r="E28" s="5">
        <v>2442.944</v>
      </c>
      <c r="F28" s="6"/>
      <c r="G28" s="6"/>
      <c r="I28" s="13" t="s">
        <v>108</v>
      </c>
      <c r="J28" s="5">
        <v>0</v>
      </c>
      <c r="K28" s="5">
        <v>0</v>
      </c>
      <c r="L28" s="5">
        <v>0</v>
      </c>
      <c r="M28" s="6"/>
      <c r="N28" s="6"/>
      <c r="O28" s="6">
        <v>0</v>
      </c>
      <c r="P28" s="6">
        <v>0</v>
      </c>
      <c r="Q28" s="6">
        <v>0</v>
      </c>
    </row>
    <row r="29" spans="2:17" ht="18" customHeight="1">
      <c r="B29" s="12">
        <v>45597</v>
      </c>
      <c r="C29" s="5">
        <v>2680</v>
      </c>
      <c r="D29" s="5">
        <v>2197.6</v>
      </c>
      <c r="E29" s="5">
        <v>2461.312</v>
      </c>
      <c r="F29" s="6"/>
      <c r="G29" s="6"/>
      <c r="I29" s="13" t="s">
        <v>109</v>
      </c>
      <c r="J29" s="5">
        <v>0</v>
      </c>
      <c r="K29" s="5">
        <v>0</v>
      </c>
      <c r="L29" s="5">
        <v>0</v>
      </c>
      <c r="M29" s="6"/>
      <c r="N29" s="6"/>
      <c r="O29" s="6">
        <v>0</v>
      </c>
      <c r="P29" s="6">
        <v>0</v>
      </c>
      <c r="Q29" s="6">
        <v>0</v>
      </c>
    </row>
    <row r="30" spans="2:17" ht="18" customHeight="1">
      <c r="B30" s="12">
        <v>45627</v>
      </c>
      <c r="C30" s="5">
        <v>2700</v>
      </c>
      <c r="D30" s="5">
        <v>2214</v>
      </c>
      <c r="E30" s="5">
        <v>2479.68</v>
      </c>
      <c r="F30" s="6">
        <v>0.82</v>
      </c>
      <c r="G30" s="6">
        <v>0.9184</v>
      </c>
      <c r="I30" s="13" t="s">
        <v>110</v>
      </c>
      <c r="J30" s="5">
        <v>0</v>
      </c>
      <c r="K30" s="5">
        <v>0</v>
      </c>
      <c r="L30" s="5">
        <v>0</v>
      </c>
      <c r="M30" s="6"/>
      <c r="N30" s="6"/>
      <c r="O30" s="6">
        <v>0</v>
      </c>
      <c r="P30" s="6">
        <v>0</v>
      </c>
      <c r="Q30" s="6">
        <v>0</v>
      </c>
    </row>
    <row r="31" spans="2:17" ht="18" customHeight="1">
      <c r="B31" s="12">
        <v>45658</v>
      </c>
      <c r="C31" s="5">
        <v>2720</v>
      </c>
      <c r="D31" s="5">
        <v>2230.4</v>
      </c>
      <c r="E31" s="5">
        <v>2498.048</v>
      </c>
      <c r="F31" s="6">
        <v>0.8200000000000001</v>
      </c>
      <c r="G31" s="6">
        <v>0.9184</v>
      </c>
      <c r="I31" s="13" t="s">
        <v>111</v>
      </c>
      <c r="J31" s="5">
        <v>0</v>
      </c>
      <c r="K31" s="5">
        <v>0</v>
      </c>
      <c r="L31" s="5">
        <v>0</v>
      </c>
      <c r="M31" s="6"/>
      <c r="N31" s="6"/>
      <c r="O31" s="6">
        <v>0</v>
      </c>
      <c r="P31" s="6">
        <v>0</v>
      </c>
      <c r="Q31" s="6">
        <v>0</v>
      </c>
    </row>
    <row r="32" spans="2:17" ht="18" customHeight="1">
      <c r="B32" s="12">
        <v>45689</v>
      </c>
      <c r="C32" s="5">
        <v>2740</v>
      </c>
      <c r="D32" s="5">
        <v>2246.8</v>
      </c>
      <c r="E32" s="5">
        <v>2516.416</v>
      </c>
      <c r="F32" s="6">
        <v>0.8200000000000001</v>
      </c>
      <c r="G32" s="6">
        <v>0.9183999999999999</v>
      </c>
      <c r="I32" s="13" t="s">
        <v>112</v>
      </c>
      <c r="J32" s="5">
        <v>0</v>
      </c>
      <c r="K32" s="5">
        <v>0</v>
      </c>
      <c r="L32" s="5">
        <v>0</v>
      </c>
      <c r="M32" s="6"/>
      <c r="N32" s="6"/>
      <c r="O32" s="6">
        <v>0</v>
      </c>
      <c r="P32" s="6">
        <v>0</v>
      </c>
      <c r="Q32" s="6">
        <v>0</v>
      </c>
    </row>
    <row r="33" spans="2:17" ht="18" customHeight="1">
      <c r="B33" s="12">
        <v>45717</v>
      </c>
      <c r="C33" s="5">
        <v>2760</v>
      </c>
      <c r="D33" s="5">
        <v>2263.2</v>
      </c>
      <c r="E33" s="5">
        <v>2534.784</v>
      </c>
      <c r="F33" s="6">
        <v>0.82</v>
      </c>
      <c r="G33" s="6">
        <v>0.9184</v>
      </c>
      <c r="I33" s="13" t="s">
        <v>113</v>
      </c>
      <c r="J33" s="5">
        <v>0</v>
      </c>
      <c r="K33" s="5">
        <v>0</v>
      </c>
      <c r="L33" s="5">
        <v>0</v>
      </c>
      <c r="M33" s="6"/>
      <c r="N33" s="6"/>
      <c r="O33" s="6">
        <v>0</v>
      </c>
      <c r="P33" s="6">
        <v>0</v>
      </c>
      <c r="Q33" s="6">
        <v>0</v>
      </c>
    </row>
    <row r="34" spans="2:17" ht="18" customHeight="1">
      <c r="B34" s="12">
        <v>45748</v>
      </c>
      <c r="C34" s="5">
        <v>2780</v>
      </c>
      <c r="D34" s="5">
        <v>2279.6</v>
      </c>
      <c r="E34" s="5">
        <v>2553.152</v>
      </c>
      <c r="F34" s="6">
        <v>0.82</v>
      </c>
      <c r="G34" s="6">
        <v>0.9184</v>
      </c>
      <c r="I34" s="13" t="s">
        <v>114</v>
      </c>
      <c r="J34" s="5">
        <v>0</v>
      </c>
      <c r="K34" s="5">
        <v>0</v>
      </c>
      <c r="L34" s="5">
        <v>0</v>
      </c>
      <c r="M34" s="6"/>
      <c r="N34" s="6"/>
      <c r="O34" s="6">
        <v>0</v>
      </c>
      <c r="P34" s="6">
        <v>0</v>
      </c>
      <c r="Q34" s="6">
        <v>0</v>
      </c>
    </row>
    <row r="35" spans="2:17" ht="18" customHeight="1">
      <c r="B35" s="12">
        <v>45778</v>
      </c>
      <c r="C35" s="5">
        <v>2800</v>
      </c>
      <c r="D35" s="5">
        <v>2296</v>
      </c>
      <c r="E35" s="5">
        <v>2571.52</v>
      </c>
      <c r="F35" s="6">
        <v>0.82</v>
      </c>
      <c r="G35" s="6">
        <v>0.9184</v>
      </c>
      <c r="I35" s="13" t="s">
        <v>115</v>
      </c>
      <c r="J35" s="5">
        <v>0</v>
      </c>
      <c r="K35" s="5">
        <v>0</v>
      </c>
      <c r="L35" s="5">
        <v>0</v>
      </c>
      <c r="M35" s="6"/>
      <c r="N35" s="6"/>
      <c r="O35" s="6">
        <v>0</v>
      </c>
      <c r="P35" s="6">
        <v>0</v>
      </c>
      <c r="Q35" s="6">
        <v>0</v>
      </c>
    </row>
    <row r="36" spans="2:17" ht="18" customHeight="1">
      <c r="B36" s="12">
        <v>45809</v>
      </c>
      <c r="C36" s="5">
        <v>2820</v>
      </c>
      <c r="D36" s="5">
        <v>2312.4</v>
      </c>
      <c r="E36" s="5">
        <v>2589.888</v>
      </c>
      <c r="F36" s="6">
        <v>0.8200000000000001</v>
      </c>
      <c r="G36" s="6">
        <v>0.9184000000000001</v>
      </c>
      <c r="I36" s="13" t="s">
        <v>116</v>
      </c>
      <c r="J36" s="5">
        <v>0</v>
      </c>
      <c r="K36" s="5">
        <v>0</v>
      </c>
      <c r="L36" s="5">
        <v>0</v>
      </c>
      <c r="M36" s="6"/>
      <c r="N36" s="6"/>
      <c r="O36" s="6">
        <v>0</v>
      </c>
      <c r="P36" s="6">
        <v>0</v>
      </c>
      <c r="Q36" s="6">
        <v>0</v>
      </c>
    </row>
    <row r="37" spans="2:17" ht="18" customHeight="1">
      <c r="B37" s="12">
        <v>45839</v>
      </c>
      <c r="C37" s="5">
        <v>2840</v>
      </c>
      <c r="D37" s="5">
        <v>2328.8</v>
      </c>
      <c r="E37" s="5">
        <v>2608.256</v>
      </c>
      <c r="F37" s="6">
        <v>0.8200000000000001</v>
      </c>
      <c r="G37" s="6">
        <v>0.9184</v>
      </c>
      <c r="I37" s="13" t="s">
        <v>117</v>
      </c>
      <c r="J37" s="5">
        <v>33960</v>
      </c>
      <c r="K37" s="5">
        <v>27847.2</v>
      </c>
      <c r="L37" s="5">
        <v>31188.864</v>
      </c>
      <c r="M37" s="6">
        <v>0.8200000000000001</v>
      </c>
      <c r="N37" s="6">
        <v>0.9184</v>
      </c>
      <c r="O37" s="6">
        <v>1</v>
      </c>
      <c r="P37" s="6">
        <v>1</v>
      </c>
      <c r="Q37" s="6">
        <v>1</v>
      </c>
    </row>
    <row r="38" spans="2:17" ht="18" customHeight="1">
      <c r="B38" s="12">
        <v>45870</v>
      </c>
      <c r="C38" s="5">
        <v>2860</v>
      </c>
      <c r="D38" s="5">
        <v>2345.2</v>
      </c>
      <c r="E38" s="5">
        <v>2626.624</v>
      </c>
      <c r="F38" s="6">
        <v>0.82</v>
      </c>
      <c r="G38" s="6">
        <v>0.9184</v>
      </c>
      <c r="I38" s="13" t="s">
        <v>118</v>
      </c>
      <c r="J38" s="5">
        <v>0</v>
      </c>
      <c r="K38" s="5">
        <v>0</v>
      </c>
      <c r="L38" s="5">
        <v>0</v>
      </c>
      <c r="M38" s="6"/>
      <c r="N38" s="6"/>
      <c r="O38" s="6">
        <v>0</v>
      </c>
      <c r="P38" s="6">
        <v>0</v>
      </c>
      <c r="Q38" s="6">
        <v>0</v>
      </c>
    </row>
    <row r="39" spans="2:17" ht="18" customHeight="1">
      <c r="B39" s="12">
        <v>45901</v>
      </c>
      <c r="C39" s="5">
        <v>2880</v>
      </c>
      <c r="D39" s="5">
        <v>2361.6</v>
      </c>
      <c r="E39" s="5">
        <v>2644.992</v>
      </c>
      <c r="F39" s="6">
        <v>0.82</v>
      </c>
      <c r="G39" s="6">
        <v>0.9184000000000001</v>
      </c>
      <c r="I39" s="13" t="s">
        <v>119</v>
      </c>
      <c r="J39" s="5">
        <v>33960</v>
      </c>
      <c r="K39" s="5">
        <v>27847.2</v>
      </c>
      <c r="L39" s="5">
        <v>31188.864</v>
      </c>
      <c r="M39" s="6">
        <v>0.8200000000000001</v>
      </c>
      <c r="N39" s="6">
        <v>0.9184</v>
      </c>
      <c r="O39" s="6">
        <v>1</v>
      </c>
      <c r="P39" s="6">
        <v>1</v>
      </c>
      <c r="Q39" s="6">
        <v>1</v>
      </c>
    </row>
    <row r="40" spans="2:17" ht="18" customHeight="1">
      <c r="B40" s="12">
        <v>45931</v>
      </c>
      <c r="C40" s="5">
        <v>2900</v>
      </c>
      <c r="D40" s="5">
        <v>2378</v>
      </c>
      <c r="E40" s="5">
        <v>2663.36</v>
      </c>
      <c r="F40" s="6">
        <v>0.82</v>
      </c>
      <c r="G40" s="6">
        <v>0.9184</v>
      </c>
    </row>
    <row r="41" spans="2:17" ht="18" customHeight="1">
      <c r="B41" s="12">
        <v>45962</v>
      </c>
      <c r="C41" s="5">
        <v>2920</v>
      </c>
      <c r="D41" s="5">
        <v>2394.4</v>
      </c>
      <c r="E41" s="5">
        <v>2681.728</v>
      </c>
      <c r="F41" s="6">
        <v>0.8200000000000001</v>
      </c>
      <c r="G41" s="6">
        <v>0.9184</v>
      </c>
    </row>
    <row r="42" spans="2:17" ht="18" customHeight="1">
      <c r="B42" s="12">
        <v>45992</v>
      </c>
      <c r="C42" s="5">
        <v>2940</v>
      </c>
      <c r="D42" s="5">
        <v>2410.8</v>
      </c>
      <c r="E42" s="5">
        <v>2700.096</v>
      </c>
      <c r="F42" s="6">
        <v>0.8200000000000001</v>
      </c>
      <c r="G42" s="6">
        <v>0.9184</v>
      </c>
    </row>
    <row r="63" spans="2:10" ht="18" customHeight="1">
      <c r="B63" s="2" t="s">
        <v>120</v>
      </c>
      <c r="C63" s="2"/>
      <c r="D63" s="2"/>
      <c r="E63" s="2"/>
      <c r="G63" s="2" t="s">
        <v>121</v>
      </c>
      <c r="H63" s="2"/>
      <c r="I63" s="2"/>
      <c r="J63" s="2"/>
    </row>
    <row r="64" spans="2:10" ht="18" customHeight="1">
      <c r="B64" s="2" t="s">
        <v>91</v>
      </c>
      <c r="C64" s="2" t="s">
        <v>10</v>
      </c>
      <c r="D64" s="2" t="s">
        <v>11</v>
      </c>
      <c r="E64" s="2" t="s">
        <v>15</v>
      </c>
      <c r="G64" s="2" t="s">
        <v>91</v>
      </c>
      <c r="H64" s="2" t="s">
        <v>10</v>
      </c>
      <c r="I64" s="2" t="s">
        <v>12</v>
      </c>
      <c r="J64" s="2" t="s">
        <v>16</v>
      </c>
    </row>
    <row r="65" spans="2:10" ht="18" customHeight="1">
      <c r="B65" s="12">
        <v>45292</v>
      </c>
      <c r="C65" s="5"/>
      <c r="D65" s="5"/>
      <c r="E65" s="6"/>
      <c r="G65" s="12">
        <v>45292</v>
      </c>
      <c r="H65" s="5"/>
      <c r="I65" s="5"/>
      <c r="J65" s="6"/>
    </row>
    <row r="66" spans="2:10" ht="18" customHeight="1">
      <c r="B66" s="12">
        <v>45323</v>
      </c>
      <c r="C66" s="5"/>
      <c r="D66" s="5"/>
      <c r="E66" s="6"/>
      <c r="G66" s="12">
        <v>45323</v>
      </c>
      <c r="H66" s="5"/>
      <c r="I66" s="5"/>
      <c r="J66" s="6"/>
    </row>
    <row r="67" spans="2:10" ht="18" customHeight="1">
      <c r="B67" s="12">
        <v>45352</v>
      </c>
      <c r="C67" s="5"/>
      <c r="D67" s="5"/>
      <c r="E67" s="6"/>
      <c r="G67" s="12">
        <v>45352</v>
      </c>
      <c r="H67" s="5"/>
      <c r="I67" s="5"/>
      <c r="J67" s="6"/>
    </row>
    <row r="68" spans="2:10" ht="18" customHeight="1">
      <c r="B68" s="12">
        <v>45383</v>
      </c>
      <c r="C68" s="5"/>
      <c r="D68" s="5"/>
      <c r="E68" s="6"/>
      <c r="G68" s="12">
        <v>45383</v>
      </c>
      <c r="H68" s="5"/>
      <c r="I68" s="5"/>
      <c r="J68" s="6"/>
    </row>
    <row r="69" spans="2:10" ht="18" customHeight="1">
      <c r="B69" s="12">
        <v>45413</v>
      </c>
      <c r="C69" s="5"/>
      <c r="D69" s="5"/>
      <c r="E69" s="6"/>
      <c r="G69" s="12">
        <v>45413</v>
      </c>
      <c r="H69" s="5"/>
      <c r="I69" s="5"/>
      <c r="J69" s="6"/>
    </row>
    <row r="70" spans="2:10" ht="18" customHeight="1">
      <c r="B70" s="12">
        <v>45444</v>
      </c>
      <c r="C70" s="5"/>
      <c r="D70" s="5"/>
      <c r="E70" s="6"/>
      <c r="G70" s="12">
        <v>45444</v>
      </c>
      <c r="H70" s="5"/>
      <c r="I70" s="5"/>
      <c r="J70" s="6"/>
    </row>
    <row r="71" spans="2:10" ht="18" customHeight="1">
      <c r="B71" s="12">
        <v>45474</v>
      </c>
      <c r="C71" s="5"/>
      <c r="D71" s="5"/>
      <c r="E71" s="6"/>
      <c r="G71" s="12">
        <v>45474</v>
      </c>
      <c r="H71" s="5"/>
      <c r="I71" s="5"/>
      <c r="J71" s="6"/>
    </row>
    <row r="72" spans="2:10" ht="18" customHeight="1">
      <c r="B72" s="12">
        <v>45505</v>
      </c>
      <c r="C72" s="5"/>
      <c r="D72" s="5"/>
      <c r="E72" s="6"/>
      <c r="G72" s="12">
        <v>45505</v>
      </c>
      <c r="H72" s="5"/>
      <c r="I72" s="5"/>
      <c r="J72" s="6"/>
    </row>
    <row r="73" spans="2:10" ht="18" customHeight="1">
      <c r="B73" s="12">
        <v>45536</v>
      </c>
      <c r="C73" s="5"/>
      <c r="D73" s="5"/>
      <c r="E73" s="6"/>
      <c r="G73" s="12">
        <v>45536</v>
      </c>
      <c r="H73" s="5"/>
      <c r="I73" s="5"/>
      <c r="J73" s="6"/>
    </row>
    <row r="74" spans="2:10" ht="18" customHeight="1">
      <c r="B74" s="12">
        <v>45566</v>
      </c>
      <c r="C74" s="5"/>
      <c r="D74" s="5"/>
      <c r="E74" s="6"/>
      <c r="G74" s="12">
        <v>45566</v>
      </c>
      <c r="H74" s="5"/>
      <c r="I74" s="5"/>
      <c r="J74" s="6"/>
    </row>
    <row r="75" spans="2:10" ht="18" customHeight="1">
      <c r="B75" s="12">
        <v>45597</v>
      </c>
      <c r="C75" s="5"/>
      <c r="D75" s="5"/>
      <c r="E75" s="6"/>
      <c r="G75" s="12">
        <v>45597</v>
      </c>
      <c r="H75" s="5"/>
      <c r="I75" s="5"/>
      <c r="J75" s="6"/>
    </row>
    <row r="76" spans="2:10" ht="18" customHeight="1">
      <c r="B76" s="12">
        <v>45627</v>
      </c>
      <c r="C76" s="5">
        <v>31080</v>
      </c>
      <c r="D76" s="5">
        <v>25485.6</v>
      </c>
      <c r="E76" s="6">
        <v>0.82</v>
      </c>
      <c r="G76" s="12">
        <v>45627</v>
      </c>
      <c r="H76" s="5">
        <v>31080</v>
      </c>
      <c r="I76" s="5">
        <v>28543.872</v>
      </c>
      <c r="J76" s="6">
        <v>0.9184</v>
      </c>
    </row>
    <row r="77" spans="2:10" ht="18" customHeight="1">
      <c r="B77" s="12">
        <v>45658</v>
      </c>
      <c r="C77" s="5">
        <v>31320</v>
      </c>
      <c r="D77" s="5">
        <v>25682.4</v>
      </c>
      <c r="E77" s="6">
        <v>0.8200000000000001</v>
      </c>
      <c r="G77" s="12">
        <v>45658</v>
      </c>
      <c r="H77" s="5">
        <v>31320</v>
      </c>
      <c r="I77" s="5">
        <v>28764.288</v>
      </c>
      <c r="J77" s="6">
        <v>0.9184</v>
      </c>
    </row>
    <row r="78" spans="2:10" ht="18" customHeight="1">
      <c r="B78" s="12">
        <v>45689</v>
      </c>
      <c r="C78" s="5">
        <v>31560</v>
      </c>
      <c r="D78" s="5">
        <v>25879.2</v>
      </c>
      <c r="E78" s="6">
        <v>0.8200000000000001</v>
      </c>
      <c r="G78" s="12">
        <v>45689</v>
      </c>
      <c r="H78" s="5">
        <v>31560</v>
      </c>
      <c r="I78" s="5">
        <v>28984.704</v>
      </c>
      <c r="J78" s="6">
        <v>0.9183999999999999</v>
      </c>
    </row>
    <row r="79" spans="2:10" ht="18" customHeight="1">
      <c r="B79" s="12">
        <v>45717</v>
      </c>
      <c r="C79" s="5">
        <v>31800</v>
      </c>
      <c r="D79" s="5">
        <v>26076</v>
      </c>
      <c r="E79" s="6">
        <v>0.82</v>
      </c>
      <c r="G79" s="12">
        <v>45717</v>
      </c>
      <c r="H79" s="5">
        <v>31800</v>
      </c>
      <c r="I79" s="5">
        <v>29205.12</v>
      </c>
      <c r="J79" s="6">
        <v>0.9184</v>
      </c>
    </row>
    <row r="80" spans="2:10" ht="18" customHeight="1">
      <c r="B80" s="12">
        <v>45748</v>
      </c>
      <c r="C80" s="5">
        <v>32040</v>
      </c>
      <c r="D80" s="5">
        <v>26272.8</v>
      </c>
      <c r="E80" s="6">
        <v>0.82</v>
      </c>
      <c r="G80" s="12">
        <v>45748</v>
      </c>
      <c r="H80" s="5">
        <v>32040</v>
      </c>
      <c r="I80" s="5">
        <v>29425.536</v>
      </c>
      <c r="J80" s="6">
        <v>0.9184</v>
      </c>
    </row>
    <row r="81" spans="2:16" ht="18" customHeight="1">
      <c r="B81" s="12">
        <v>45778</v>
      </c>
      <c r="C81" s="5">
        <v>32280</v>
      </c>
      <c r="D81" s="5">
        <v>26469.6</v>
      </c>
      <c r="E81" s="6">
        <v>0.82</v>
      </c>
      <c r="G81" s="12">
        <v>45778</v>
      </c>
      <c r="H81" s="5">
        <v>32280</v>
      </c>
      <c r="I81" s="5">
        <v>29645.952</v>
      </c>
      <c r="J81" s="6">
        <v>0.9184</v>
      </c>
    </row>
    <row r="82" spans="2:16" ht="18" customHeight="1">
      <c r="B82" s="12">
        <v>45809</v>
      </c>
      <c r="C82" s="5">
        <v>32520</v>
      </c>
      <c r="D82" s="5">
        <v>26666.4</v>
      </c>
      <c r="E82" s="6">
        <v>0.8200000000000001</v>
      </c>
      <c r="G82" s="12">
        <v>45809</v>
      </c>
      <c r="H82" s="5">
        <v>32520</v>
      </c>
      <c r="I82" s="5">
        <v>29866.368</v>
      </c>
      <c r="J82" s="6">
        <v>0.9184000000000001</v>
      </c>
    </row>
    <row r="83" spans="2:16" ht="18" customHeight="1">
      <c r="B83" s="12">
        <v>45839</v>
      </c>
      <c r="C83" s="5">
        <v>32760</v>
      </c>
      <c r="D83" s="5">
        <v>26863.2</v>
      </c>
      <c r="E83" s="6">
        <v>0.8200000000000001</v>
      </c>
      <c r="G83" s="12">
        <v>45839</v>
      </c>
      <c r="H83" s="5">
        <v>32760</v>
      </c>
      <c r="I83" s="5">
        <v>30086.784</v>
      </c>
      <c r="J83" s="6">
        <v>0.9184</v>
      </c>
    </row>
    <row r="84" spans="2:16" ht="18" customHeight="1">
      <c r="B84" s="12">
        <v>45870</v>
      </c>
      <c r="C84" s="5">
        <v>33000</v>
      </c>
      <c r="D84" s="5">
        <v>27060</v>
      </c>
      <c r="E84" s="6">
        <v>0.82</v>
      </c>
      <c r="G84" s="12">
        <v>45870</v>
      </c>
      <c r="H84" s="5">
        <v>33000</v>
      </c>
      <c r="I84" s="5">
        <v>30307.2</v>
      </c>
      <c r="J84" s="6">
        <v>0.9184</v>
      </c>
    </row>
    <row r="85" spans="2:16" ht="18" customHeight="1">
      <c r="B85" s="12">
        <v>45901</v>
      </c>
      <c r="C85" s="5">
        <v>33240</v>
      </c>
      <c r="D85" s="5">
        <v>27256.8</v>
      </c>
      <c r="E85" s="6">
        <v>0.82</v>
      </c>
      <c r="G85" s="12">
        <v>45901</v>
      </c>
      <c r="H85" s="5">
        <v>33240</v>
      </c>
      <c r="I85" s="5">
        <v>30527.616</v>
      </c>
      <c r="J85" s="6">
        <v>0.9184000000000001</v>
      </c>
    </row>
    <row r="86" spans="2:16" ht="18" customHeight="1">
      <c r="B86" s="12">
        <v>45931</v>
      </c>
      <c r="C86" s="5">
        <v>33480</v>
      </c>
      <c r="D86" s="5">
        <v>27453.6</v>
      </c>
      <c r="E86" s="6">
        <v>0.82</v>
      </c>
      <c r="G86" s="12">
        <v>45931</v>
      </c>
      <c r="H86" s="5">
        <v>33480</v>
      </c>
      <c r="I86" s="5">
        <v>30748.032</v>
      </c>
      <c r="J86" s="6">
        <v>0.9184</v>
      </c>
    </row>
    <row r="87" spans="2:16" ht="18" customHeight="1">
      <c r="B87" s="12">
        <v>45962</v>
      </c>
      <c r="C87" s="5">
        <v>33720</v>
      </c>
      <c r="D87" s="5">
        <v>27650.4</v>
      </c>
      <c r="E87" s="6">
        <v>0.8200000000000001</v>
      </c>
      <c r="G87" s="12">
        <v>45962</v>
      </c>
      <c r="H87" s="5">
        <v>33720</v>
      </c>
      <c r="I87" s="5">
        <v>30968.448</v>
      </c>
      <c r="J87" s="6">
        <v>0.9184</v>
      </c>
    </row>
    <row r="88" spans="2:16" ht="18" customHeight="1">
      <c r="B88" s="12">
        <v>45992</v>
      </c>
      <c r="C88" s="5">
        <v>33960</v>
      </c>
      <c r="D88" s="5">
        <v>27847.2</v>
      </c>
      <c r="E88" s="6">
        <v>0.8200000000000001</v>
      </c>
      <c r="G88" s="12">
        <v>45992</v>
      </c>
      <c r="H88" s="5">
        <v>33960</v>
      </c>
      <c r="I88" s="5">
        <v>31188.864</v>
      </c>
      <c r="J88" s="6">
        <v>0.9184</v>
      </c>
    </row>
    <row r="91" spans="2:16" ht="18" customHeight="1">
      <c r="B91" s="2" t="s">
        <v>122</v>
      </c>
      <c r="C91" s="2"/>
      <c r="D91" s="2"/>
      <c r="E91" s="2"/>
      <c r="F91" s="2"/>
      <c r="G91" s="2"/>
      <c r="H91" s="2"/>
      <c r="J91" s="2" t="s">
        <v>129</v>
      </c>
      <c r="K91" s="2"/>
      <c r="L91" s="2"/>
      <c r="M91" s="2"/>
      <c r="N91" s="2"/>
      <c r="O91" s="2"/>
      <c r="P91" s="2"/>
    </row>
    <row r="92" spans="2:16" ht="18" customHeight="1">
      <c r="B92" s="2" t="s">
        <v>123</v>
      </c>
      <c r="C92" s="2" t="s">
        <v>124</v>
      </c>
      <c r="D92" s="2" t="s">
        <v>10</v>
      </c>
      <c r="E92" s="2" t="s">
        <v>125</v>
      </c>
      <c r="F92" s="2" t="s">
        <v>126</v>
      </c>
      <c r="G92" s="2" t="s">
        <v>127</v>
      </c>
      <c r="H92" s="2" t="s">
        <v>71</v>
      </c>
      <c r="J92" s="2" t="s">
        <v>123</v>
      </c>
      <c r="K92" s="2" t="s">
        <v>124</v>
      </c>
      <c r="L92" s="2" t="s">
        <v>10</v>
      </c>
      <c r="M92" s="2" t="s">
        <v>125</v>
      </c>
      <c r="N92" s="2" t="s">
        <v>126</v>
      </c>
      <c r="O92" s="2" t="s">
        <v>127</v>
      </c>
      <c r="P92" s="2" t="s">
        <v>71</v>
      </c>
    </row>
    <row r="93" spans="2:16" ht="18" customHeight="1">
      <c r="B93" s="11" t="s">
        <v>128</v>
      </c>
      <c r="C93" s="11"/>
      <c r="D93" s="11"/>
      <c r="E93" s="11"/>
      <c r="F93" s="11"/>
      <c r="G93" s="11"/>
      <c r="H93" s="11"/>
      <c r="J93" s="11" t="s">
        <v>128</v>
      </c>
      <c r="K93" s="11"/>
      <c r="L93" s="11"/>
      <c r="M93" s="11"/>
      <c r="N93" s="11"/>
      <c r="O93" s="11"/>
      <c r="P93" s="11"/>
    </row>
  </sheetData>
  <mergeCells count="11">
    <mergeCell ref="B1:D2"/>
    <mergeCell ref="C6:F6"/>
    <mergeCell ref="H6:K6"/>
    <mergeCell ref="B12:D12"/>
    <mergeCell ref="H12:K12"/>
    <mergeCell ref="B63:E63"/>
    <mergeCell ref="G63:J63"/>
    <mergeCell ref="B91:H91"/>
    <mergeCell ref="B93:H93"/>
    <mergeCell ref="J91:P91"/>
    <mergeCell ref="J93:P93"/>
  </mergeCells>
  <hyperlinks>
    <hyperlink ref="L1" location="'Resumo Categorias'!A1" display="Voltar ao Resumo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8" customHeight="1"/>
  <cols>
    <col min="1" max="1" width="12.7109375" customWidth="1"/>
    <col min="2" max="8" width="15.7109375" customWidth="1"/>
  </cols>
  <sheetData>
    <row r="1" spans="1:6" ht="18" customHeight="1">
      <c r="A1" s="14" t="s">
        <v>130</v>
      </c>
      <c r="B1" s="14"/>
      <c r="C1" s="14"/>
      <c r="D1" s="14"/>
      <c r="E1" s="14"/>
      <c r="F1" s="14"/>
    </row>
    <row r="25" spans="1:6" ht="18" customHeight="1">
      <c r="A25" s="2" t="s">
        <v>91</v>
      </c>
      <c r="B25" s="2" t="s">
        <v>10</v>
      </c>
      <c r="C25" s="2" t="s">
        <v>11</v>
      </c>
      <c r="D25" s="2" t="s">
        <v>12</v>
      </c>
      <c r="E25" s="2" t="s">
        <v>15</v>
      </c>
      <c r="F25" s="2" t="s">
        <v>16</v>
      </c>
    </row>
    <row r="26" spans="1:6" ht="18" customHeight="1">
      <c r="A26" s="12">
        <v>45292</v>
      </c>
      <c r="B26" s="5">
        <v>2080</v>
      </c>
      <c r="C26" s="5">
        <v>1705.6</v>
      </c>
      <c r="D26" s="5">
        <v>1910.272</v>
      </c>
      <c r="E26" s="6"/>
      <c r="F26" s="6"/>
    </row>
    <row r="27" spans="1:6" ht="18" customHeight="1">
      <c r="A27" s="12">
        <v>45323</v>
      </c>
      <c r="B27" s="5">
        <v>2100</v>
      </c>
      <c r="C27" s="5">
        <v>1722</v>
      </c>
      <c r="D27" s="5">
        <v>1928.64</v>
      </c>
      <c r="E27" s="6"/>
      <c r="F27" s="6"/>
    </row>
    <row r="28" spans="1:6" ht="18" customHeight="1">
      <c r="A28" s="12">
        <v>45352</v>
      </c>
      <c r="B28" s="5">
        <v>2120</v>
      </c>
      <c r="C28" s="5">
        <v>1738.4</v>
      </c>
      <c r="D28" s="5">
        <v>1947.008</v>
      </c>
      <c r="E28" s="6"/>
      <c r="F28" s="6"/>
    </row>
    <row r="29" spans="1:6" ht="18" customHeight="1">
      <c r="A29" s="12">
        <v>45383</v>
      </c>
      <c r="B29" s="5">
        <v>2140</v>
      </c>
      <c r="C29" s="5">
        <v>1754.8</v>
      </c>
      <c r="D29" s="5">
        <v>1965.376</v>
      </c>
      <c r="E29" s="6"/>
      <c r="F29" s="6"/>
    </row>
    <row r="30" spans="1:6" ht="18" customHeight="1">
      <c r="A30" s="12">
        <v>45413</v>
      </c>
      <c r="B30" s="5">
        <v>2160</v>
      </c>
      <c r="C30" s="5">
        <v>1771.2</v>
      </c>
      <c r="D30" s="5">
        <v>1983.744</v>
      </c>
      <c r="E30" s="6"/>
      <c r="F30" s="6"/>
    </row>
    <row r="31" spans="1:6" ht="18" customHeight="1">
      <c r="A31" s="12">
        <v>45444</v>
      </c>
      <c r="B31" s="5">
        <v>2180</v>
      </c>
      <c r="C31" s="5">
        <v>1787.6</v>
      </c>
      <c r="D31" s="5">
        <v>2002.112</v>
      </c>
      <c r="E31" s="6"/>
      <c r="F31" s="6"/>
    </row>
    <row r="32" spans="1:6" ht="18" customHeight="1">
      <c r="A32" s="12">
        <v>45474</v>
      </c>
      <c r="B32" s="5">
        <v>2200</v>
      </c>
      <c r="C32" s="5">
        <v>1804</v>
      </c>
      <c r="D32" s="5">
        <v>2020.48</v>
      </c>
      <c r="E32" s="6"/>
      <c r="F32" s="6"/>
    </row>
    <row r="33" spans="1:6" ht="18" customHeight="1">
      <c r="A33" s="12">
        <v>45505</v>
      </c>
      <c r="B33" s="5">
        <v>2220</v>
      </c>
      <c r="C33" s="5">
        <v>1820.4</v>
      </c>
      <c r="D33" s="5">
        <v>2038.848</v>
      </c>
      <c r="E33" s="6"/>
      <c r="F33" s="6"/>
    </row>
    <row r="34" spans="1:6" ht="18" customHeight="1">
      <c r="A34" s="12">
        <v>45536</v>
      </c>
      <c r="B34" s="5">
        <v>2240</v>
      </c>
      <c r="C34" s="5">
        <v>1836.8</v>
      </c>
      <c r="D34" s="5">
        <v>2057.216</v>
      </c>
      <c r="E34" s="6"/>
      <c r="F34" s="6"/>
    </row>
    <row r="35" spans="1:6" ht="18" customHeight="1">
      <c r="A35" s="12">
        <v>45566</v>
      </c>
      <c r="B35" s="5">
        <v>2260</v>
      </c>
      <c r="C35" s="5">
        <v>1853.2</v>
      </c>
      <c r="D35" s="5">
        <v>2075.584</v>
      </c>
      <c r="E35" s="6"/>
      <c r="F35" s="6"/>
    </row>
    <row r="36" spans="1:6" ht="18" customHeight="1">
      <c r="A36" s="12">
        <v>45597</v>
      </c>
      <c r="B36" s="5">
        <v>2280</v>
      </c>
      <c r="C36" s="5">
        <v>1869.6</v>
      </c>
      <c r="D36" s="5">
        <v>2093.952</v>
      </c>
      <c r="E36" s="6"/>
      <c r="F36" s="6"/>
    </row>
    <row r="37" spans="1:6" ht="18" customHeight="1">
      <c r="A37" s="12">
        <v>45627</v>
      </c>
      <c r="B37" s="5">
        <v>2300</v>
      </c>
      <c r="C37" s="5">
        <v>1886</v>
      </c>
      <c r="D37" s="5">
        <v>2112.32</v>
      </c>
      <c r="E37" s="6">
        <v>0.82</v>
      </c>
      <c r="F37" s="6">
        <v>0.9184</v>
      </c>
    </row>
    <row r="38" spans="1:6" ht="18" customHeight="1">
      <c r="A38" s="12">
        <v>45658</v>
      </c>
      <c r="B38" s="5">
        <v>2320</v>
      </c>
      <c r="C38" s="5">
        <v>1902.4</v>
      </c>
      <c r="D38" s="5">
        <v>2130.688</v>
      </c>
      <c r="E38" s="6">
        <v>0.8200000000000001</v>
      </c>
      <c r="F38" s="6">
        <v>0.9184</v>
      </c>
    </row>
    <row r="39" spans="1:6" ht="18" customHeight="1">
      <c r="A39" s="12">
        <v>45689</v>
      </c>
      <c r="B39" s="5">
        <v>2340</v>
      </c>
      <c r="C39" s="5">
        <v>1918.8</v>
      </c>
      <c r="D39" s="5">
        <v>2149.056</v>
      </c>
      <c r="E39" s="6">
        <v>0.8200000000000001</v>
      </c>
      <c r="F39" s="6">
        <v>0.9183999999999999</v>
      </c>
    </row>
    <row r="40" spans="1:6" ht="18" customHeight="1">
      <c r="A40" s="12">
        <v>45717</v>
      </c>
      <c r="B40" s="5">
        <v>2360</v>
      </c>
      <c r="C40" s="5">
        <v>1935.2</v>
      </c>
      <c r="D40" s="5">
        <v>2167.424</v>
      </c>
      <c r="E40" s="6">
        <v>0.82</v>
      </c>
      <c r="F40" s="6">
        <v>0.9184</v>
      </c>
    </row>
    <row r="41" spans="1:6" ht="18" customHeight="1">
      <c r="A41" s="12">
        <v>45748</v>
      </c>
      <c r="B41" s="5">
        <v>2380</v>
      </c>
      <c r="C41" s="5">
        <v>1951.6</v>
      </c>
      <c r="D41" s="5">
        <v>2185.792</v>
      </c>
      <c r="E41" s="6">
        <v>0.82</v>
      </c>
      <c r="F41" s="6">
        <v>0.9184</v>
      </c>
    </row>
    <row r="42" spans="1:6" ht="18" customHeight="1">
      <c r="A42" s="12">
        <v>45778</v>
      </c>
      <c r="B42" s="5">
        <v>2400</v>
      </c>
      <c r="C42" s="5">
        <v>1968</v>
      </c>
      <c r="D42" s="5">
        <v>2204.16</v>
      </c>
      <c r="E42" s="6">
        <v>0.82</v>
      </c>
      <c r="F42" s="6">
        <v>0.9183999999999999</v>
      </c>
    </row>
    <row r="43" spans="1:6" ht="18" customHeight="1">
      <c r="A43" s="12">
        <v>45809</v>
      </c>
      <c r="B43" s="5">
        <v>2420</v>
      </c>
      <c r="C43" s="5">
        <v>1984.4</v>
      </c>
      <c r="D43" s="5">
        <v>2222.528</v>
      </c>
      <c r="E43" s="6">
        <v>0.8200000000000001</v>
      </c>
      <c r="F43" s="6">
        <v>0.9184</v>
      </c>
    </row>
    <row r="44" spans="1:6" ht="18" customHeight="1">
      <c r="A44" s="12">
        <v>45839</v>
      </c>
      <c r="B44" s="5">
        <v>2440</v>
      </c>
      <c r="C44" s="5">
        <v>2000.8</v>
      </c>
      <c r="D44" s="5">
        <v>2240.896</v>
      </c>
      <c r="E44" s="6">
        <v>0.8200000000000001</v>
      </c>
      <c r="F44" s="6">
        <v>0.9184</v>
      </c>
    </row>
    <row r="45" spans="1:6" ht="18" customHeight="1">
      <c r="A45" s="12">
        <v>45870</v>
      </c>
      <c r="B45" s="5">
        <v>2460</v>
      </c>
      <c r="C45" s="5">
        <v>2017.2</v>
      </c>
      <c r="D45" s="5">
        <v>2259.264</v>
      </c>
      <c r="E45" s="6">
        <v>0.82</v>
      </c>
      <c r="F45" s="6">
        <v>0.9184</v>
      </c>
    </row>
    <row r="46" spans="1:6" ht="18" customHeight="1">
      <c r="A46" s="12">
        <v>45901</v>
      </c>
      <c r="B46" s="5">
        <v>2480</v>
      </c>
      <c r="C46" s="5">
        <v>2033.6</v>
      </c>
      <c r="D46" s="5">
        <v>2277.632</v>
      </c>
      <c r="E46" s="6">
        <v>0.82</v>
      </c>
      <c r="F46" s="6">
        <v>0.9184</v>
      </c>
    </row>
    <row r="47" spans="1:6" ht="18" customHeight="1">
      <c r="A47" s="12">
        <v>45931</v>
      </c>
      <c r="B47" s="5">
        <v>2500</v>
      </c>
      <c r="C47" s="5">
        <v>2050</v>
      </c>
      <c r="D47" s="5">
        <v>2296</v>
      </c>
      <c r="E47" s="6">
        <v>0.82</v>
      </c>
      <c r="F47" s="6">
        <v>0.9184</v>
      </c>
    </row>
    <row r="48" spans="1:6" ht="18" customHeight="1">
      <c r="A48" s="12">
        <v>45962</v>
      </c>
      <c r="B48" s="5">
        <v>2520</v>
      </c>
      <c r="C48" s="5">
        <v>2066.4</v>
      </c>
      <c r="D48" s="5">
        <v>2314.368</v>
      </c>
      <c r="E48" s="6">
        <v>0.8200000000000001</v>
      </c>
      <c r="F48" s="6">
        <v>0.9184</v>
      </c>
    </row>
    <row r="49" spans="1:6" ht="18" customHeight="1">
      <c r="A49" s="12">
        <v>45992</v>
      </c>
      <c r="B49" s="5">
        <v>2540</v>
      </c>
      <c r="C49" s="5">
        <v>2082.8</v>
      </c>
      <c r="D49" s="5">
        <v>2332.736</v>
      </c>
      <c r="E49" s="6">
        <v>0.8200000000000001</v>
      </c>
      <c r="F49" s="6">
        <v>0.9184000000000001</v>
      </c>
    </row>
    <row r="53" spans="1:6" ht="18" customHeight="1">
      <c r="A53" s="14" t="s">
        <v>131</v>
      </c>
      <c r="B53" s="14"/>
      <c r="C53" s="14"/>
      <c r="D53" s="14"/>
      <c r="E53" s="14"/>
      <c r="F53" s="14"/>
    </row>
    <row r="77" spans="1:6" ht="18" customHeight="1">
      <c r="A77" s="2" t="s">
        <v>91</v>
      </c>
      <c r="B77" s="2" t="s">
        <v>10</v>
      </c>
      <c r="C77" s="2" t="s">
        <v>11</v>
      </c>
      <c r="D77" s="2" t="s">
        <v>12</v>
      </c>
      <c r="E77" s="2" t="s">
        <v>15</v>
      </c>
      <c r="F77" s="2" t="s">
        <v>16</v>
      </c>
    </row>
    <row r="78" spans="1:6" ht="18" customHeight="1">
      <c r="A78" s="12">
        <v>45292</v>
      </c>
      <c r="B78" s="5">
        <v>2480</v>
      </c>
      <c r="C78" s="5">
        <v>2033.6</v>
      </c>
      <c r="D78" s="5">
        <v>2277.632</v>
      </c>
      <c r="E78" s="6"/>
      <c r="F78" s="6"/>
    </row>
    <row r="79" spans="1:6" ht="18" customHeight="1">
      <c r="A79" s="12">
        <v>45323</v>
      </c>
      <c r="B79" s="5">
        <v>2500</v>
      </c>
      <c r="C79" s="5">
        <v>2050</v>
      </c>
      <c r="D79" s="5">
        <v>2296</v>
      </c>
      <c r="E79" s="6"/>
      <c r="F79" s="6"/>
    </row>
    <row r="80" spans="1:6" ht="18" customHeight="1">
      <c r="A80" s="12">
        <v>45352</v>
      </c>
      <c r="B80" s="5">
        <v>2520</v>
      </c>
      <c r="C80" s="5">
        <v>2066.4</v>
      </c>
      <c r="D80" s="5">
        <v>2314.368</v>
      </c>
      <c r="E80" s="6"/>
      <c r="F80" s="6"/>
    </row>
    <row r="81" spans="1:6" ht="18" customHeight="1">
      <c r="A81" s="12">
        <v>45383</v>
      </c>
      <c r="B81" s="5">
        <v>2540</v>
      </c>
      <c r="C81" s="5">
        <v>2082.8</v>
      </c>
      <c r="D81" s="5">
        <v>2332.736</v>
      </c>
      <c r="E81" s="6"/>
      <c r="F81" s="6"/>
    </row>
    <row r="82" spans="1:6" ht="18" customHeight="1">
      <c r="A82" s="12">
        <v>45413</v>
      </c>
      <c r="B82" s="5">
        <v>2560</v>
      </c>
      <c r="C82" s="5">
        <v>2099.2</v>
      </c>
      <c r="D82" s="5">
        <v>2351.104</v>
      </c>
      <c r="E82" s="6"/>
      <c r="F82" s="6"/>
    </row>
    <row r="83" spans="1:6" ht="18" customHeight="1">
      <c r="A83" s="12">
        <v>45444</v>
      </c>
      <c r="B83" s="5">
        <v>2580</v>
      </c>
      <c r="C83" s="5">
        <v>2115.6</v>
      </c>
      <c r="D83" s="5">
        <v>2369.472</v>
      </c>
      <c r="E83" s="6"/>
      <c r="F83" s="6"/>
    </row>
    <row r="84" spans="1:6" ht="18" customHeight="1">
      <c r="A84" s="12">
        <v>45474</v>
      </c>
      <c r="B84" s="5">
        <v>2600</v>
      </c>
      <c r="C84" s="5">
        <v>2132</v>
      </c>
      <c r="D84" s="5">
        <v>2387.84</v>
      </c>
      <c r="E84" s="6"/>
      <c r="F84" s="6"/>
    </row>
    <row r="85" spans="1:6" ht="18" customHeight="1">
      <c r="A85" s="12">
        <v>45505</v>
      </c>
      <c r="B85" s="5">
        <v>2620</v>
      </c>
      <c r="C85" s="5">
        <v>2148.4</v>
      </c>
      <c r="D85" s="5">
        <v>2406.208</v>
      </c>
      <c r="E85" s="6"/>
      <c r="F85" s="6"/>
    </row>
    <row r="86" spans="1:6" ht="18" customHeight="1">
      <c r="A86" s="12">
        <v>45536</v>
      </c>
      <c r="B86" s="5">
        <v>2640</v>
      </c>
      <c r="C86" s="5">
        <v>2164.8</v>
      </c>
      <c r="D86" s="5">
        <v>2424.576</v>
      </c>
      <c r="E86" s="6"/>
      <c r="F86" s="6"/>
    </row>
    <row r="87" spans="1:6" ht="18" customHeight="1">
      <c r="A87" s="12">
        <v>45566</v>
      </c>
      <c r="B87" s="5">
        <v>2660</v>
      </c>
      <c r="C87" s="5">
        <v>2181.2</v>
      </c>
      <c r="D87" s="5">
        <v>2442.944</v>
      </c>
      <c r="E87" s="6"/>
      <c r="F87" s="6"/>
    </row>
    <row r="88" spans="1:6" ht="18" customHeight="1">
      <c r="A88" s="12">
        <v>45597</v>
      </c>
      <c r="B88" s="5">
        <v>2680</v>
      </c>
      <c r="C88" s="5">
        <v>2197.6</v>
      </c>
      <c r="D88" s="5">
        <v>2461.312</v>
      </c>
      <c r="E88" s="6"/>
      <c r="F88" s="6"/>
    </row>
    <row r="89" spans="1:6" ht="18" customHeight="1">
      <c r="A89" s="12">
        <v>45627</v>
      </c>
      <c r="B89" s="5">
        <v>2700</v>
      </c>
      <c r="C89" s="5">
        <v>2214</v>
      </c>
      <c r="D89" s="5">
        <v>2479.68</v>
      </c>
      <c r="E89" s="6">
        <v>0.82</v>
      </c>
      <c r="F89" s="6">
        <v>0.9184</v>
      </c>
    </row>
    <row r="90" spans="1:6" ht="18" customHeight="1">
      <c r="A90" s="12">
        <v>45658</v>
      </c>
      <c r="B90" s="5">
        <v>2720</v>
      </c>
      <c r="C90" s="5">
        <v>2230.4</v>
      </c>
      <c r="D90" s="5">
        <v>2498.048</v>
      </c>
      <c r="E90" s="6">
        <v>0.8200000000000001</v>
      </c>
      <c r="F90" s="6">
        <v>0.9184</v>
      </c>
    </row>
    <row r="91" spans="1:6" ht="18" customHeight="1">
      <c r="A91" s="12">
        <v>45689</v>
      </c>
      <c r="B91" s="5">
        <v>2740</v>
      </c>
      <c r="C91" s="5">
        <v>2246.8</v>
      </c>
      <c r="D91" s="5">
        <v>2516.416</v>
      </c>
      <c r="E91" s="6">
        <v>0.8200000000000001</v>
      </c>
      <c r="F91" s="6">
        <v>0.9183999999999999</v>
      </c>
    </row>
    <row r="92" spans="1:6" ht="18" customHeight="1">
      <c r="A92" s="12">
        <v>45717</v>
      </c>
      <c r="B92" s="5">
        <v>2760</v>
      </c>
      <c r="C92" s="5">
        <v>2263.2</v>
      </c>
      <c r="D92" s="5">
        <v>2534.784</v>
      </c>
      <c r="E92" s="6">
        <v>0.82</v>
      </c>
      <c r="F92" s="6">
        <v>0.9184</v>
      </c>
    </row>
    <row r="93" spans="1:6" ht="18" customHeight="1">
      <c r="A93" s="12">
        <v>45748</v>
      </c>
      <c r="B93" s="5">
        <v>2780</v>
      </c>
      <c r="C93" s="5">
        <v>2279.6</v>
      </c>
      <c r="D93" s="5">
        <v>2553.152</v>
      </c>
      <c r="E93" s="6">
        <v>0.82</v>
      </c>
      <c r="F93" s="6">
        <v>0.9184</v>
      </c>
    </row>
    <row r="94" spans="1:6" ht="18" customHeight="1">
      <c r="A94" s="12">
        <v>45778</v>
      </c>
      <c r="B94" s="5">
        <v>2800</v>
      </c>
      <c r="C94" s="5">
        <v>2296</v>
      </c>
      <c r="D94" s="5">
        <v>2571.52</v>
      </c>
      <c r="E94" s="6">
        <v>0.82</v>
      </c>
      <c r="F94" s="6">
        <v>0.9184</v>
      </c>
    </row>
    <row r="95" spans="1:6" ht="18" customHeight="1">
      <c r="A95" s="12">
        <v>45809</v>
      </c>
      <c r="B95" s="5">
        <v>2820</v>
      </c>
      <c r="C95" s="5">
        <v>2312.4</v>
      </c>
      <c r="D95" s="5">
        <v>2589.888</v>
      </c>
      <c r="E95" s="6">
        <v>0.8200000000000001</v>
      </c>
      <c r="F95" s="6">
        <v>0.9184000000000001</v>
      </c>
    </row>
    <row r="96" spans="1:6" ht="18" customHeight="1">
      <c r="A96" s="12">
        <v>45839</v>
      </c>
      <c r="B96" s="5">
        <v>2840</v>
      </c>
      <c r="C96" s="5">
        <v>2328.8</v>
      </c>
      <c r="D96" s="5">
        <v>2608.256</v>
      </c>
      <c r="E96" s="6">
        <v>0.8200000000000001</v>
      </c>
      <c r="F96" s="6">
        <v>0.9184</v>
      </c>
    </row>
    <row r="97" spans="1:6" ht="18" customHeight="1">
      <c r="A97" s="12">
        <v>45870</v>
      </c>
      <c r="B97" s="5">
        <v>2860</v>
      </c>
      <c r="C97" s="5">
        <v>2345.2</v>
      </c>
      <c r="D97" s="5">
        <v>2626.624</v>
      </c>
      <c r="E97" s="6">
        <v>0.82</v>
      </c>
      <c r="F97" s="6">
        <v>0.9184</v>
      </c>
    </row>
    <row r="98" spans="1:6" ht="18" customHeight="1">
      <c r="A98" s="12">
        <v>45901</v>
      </c>
      <c r="B98" s="5">
        <v>2880</v>
      </c>
      <c r="C98" s="5">
        <v>2361.6</v>
      </c>
      <c r="D98" s="5">
        <v>2644.992</v>
      </c>
      <c r="E98" s="6">
        <v>0.82</v>
      </c>
      <c r="F98" s="6">
        <v>0.9184000000000001</v>
      </c>
    </row>
    <row r="99" spans="1:6" ht="18" customHeight="1">
      <c r="A99" s="12">
        <v>45931</v>
      </c>
      <c r="B99" s="5">
        <v>2900</v>
      </c>
      <c r="C99" s="5">
        <v>2378</v>
      </c>
      <c r="D99" s="5">
        <v>2663.36</v>
      </c>
      <c r="E99" s="6">
        <v>0.82</v>
      </c>
      <c r="F99" s="6">
        <v>0.9184</v>
      </c>
    </row>
    <row r="100" spans="1:6" ht="18" customHeight="1">
      <c r="A100" s="12">
        <v>45962</v>
      </c>
      <c r="B100" s="5">
        <v>2920</v>
      </c>
      <c r="C100" s="5">
        <v>2394.4</v>
      </c>
      <c r="D100" s="5">
        <v>2681.728</v>
      </c>
      <c r="E100" s="6">
        <v>0.8200000000000001</v>
      </c>
      <c r="F100" s="6">
        <v>0.9184</v>
      </c>
    </row>
    <row r="101" spans="1:6" ht="18" customHeight="1">
      <c r="A101" s="12">
        <v>45992</v>
      </c>
      <c r="B101" s="5">
        <v>2940</v>
      </c>
      <c r="C101" s="5">
        <v>2410.8</v>
      </c>
      <c r="D101" s="5">
        <v>2700.096</v>
      </c>
      <c r="E101" s="6">
        <v>0.8200000000000001</v>
      </c>
      <c r="F101" s="6">
        <v>0.9184</v>
      </c>
    </row>
  </sheetData>
  <mergeCells count="2">
    <mergeCell ref="A1:F1"/>
    <mergeCell ref="A53:F5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R6"/>
  <sheetViews>
    <sheetView workbookViewId="0"/>
  </sheetViews>
  <sheetFormatPr defaultRowHeight="15"/>
  <cols>
    <col min="1" max="1" width="17.7109375" style="15" customWidth="1"/>
    <col min="2" max="2" width="15.7109375" style="15" customWidth="1"/>
    <col min="3" max="4" width="20.7109375" style="15" customWidth="1"/>
    <col min="5" max="6" width="14.7109375" style="15" customWidth="1"/>
    <col min="7" max="8" width="16.7109375" style="15" customWidth="1"/>
    <col min="9" max="16" width="20.7109375" style="15" customWidth="1"/>
    <col min="17" max="18" width="18.7109375" style="15" customWidth="1"/>
    <col min="19" max="22" width="20.7109375" style="15" customWidth="1"/>
    <col min="23" max="24" width="16.7109375" style="15" customWidth="1"/>
    <col min="25" max="32" width="20.7109375" style="15" customWidth="1"/>
    <col min="33" max="38" width="18.7109375" style="6" customWidth="1"/>
    <col min="39" max="40" width="19.7109375" style="15" customWidth="1"/>
    <col min="41" max="44" width="20.7109375" style="15" customWidth="1"/>
  </cols>
  <sheetData>
    <row r="1" spans="1:44">
      <c r="A1" s="16" t="s">
        <v>187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</row>
    <row r="2" spans="1:44">
      <c r="A2" s="2" t="s">
        <v>70</v>
      </c>
      <c r="B2" s="2" t="s">
        <v>132</v>
      </c>
      <c r="C2" s="2" t="s">
        <v>133</v>
      </c>
      <c r="D2" s="2" t="s">
        <v>134</v>
      </c>
      <c r="E2" s="2" t="s">
        <v>135</v>
      </c>
      <c r="F2" s="2" t="s">
        <v>136</v>
      </c>
      <c r="G2" s="2" t="s">
        <v>137</v>
      </c>
      <c r="H2" s="2" t="s">
        <v>138</v>
      </c>
      <c r="I2" s="2" t="s">
        <v>139</v>
      </c>
      <c r="J2" s="2" t="s">
        <v>140</v>
      </c>
      <c r="K2" s="2" t="s">
        <v>141</v>
      </c>
      <c r="L2" s="2" t="s">
        <v>142</v>
      </c>
      <c r="M2" s="2" t="s">
        <v>143</v>
      </c>
      <c r="N2" s="2" t="s">
        <v>144</v>
      </c>
      <c r="O2" s="2" t="s">
        <v>145</v>
      </c>
      <c r="P2" s="2" t="s">
        <v>146</v>
      </c>
      <c r="Q2" s="2" t="s">
        <v>147</v>
      </c>
      <c r="R2" s="2" t="s">
        <v>148</v>
      </c>
      <c r="S2" s="2" t="s">
        <v>149</v>
      </c>
      <c r="T2" s="2" t="s">
        <v>150</v>
      </c>
      <c r="U2" s="2" t="s">
        <v>151</v>
      </c>
      <c r="V2" s="2" t="s">
        <v>152</v>
      </c>
      <c r="W2" s="2" t="s">
        <v>153</v>
      </c>
      <c r="X2" s="2" t="s">
        <v>154</v>
      </c>
      <c r="Y2" s="2" t="s">
        <v>155</v>
      </c>
      <c r="Z2" s="2" t="s">
        <v>156</v>
      </c>
      <c r="AA2" s="2" t="s">
        <v>157</v>
      </c>
      <c r="AB2" s="2" t="s">
        <v>158</v>
      </c>
      <c r="AC2" s="2" t="s">
        <v>159</v>
      </c>
      <c r="AD2" s="2" t="s">
        <v>160</v>
      </c>
      <c r="AE2" s="2" t="s">
        <v>161</v>
      </c>
      <c r="AF2" s="2" t="s">
        <v>162</v>
      </c>
      <c r="AG2" s="2" t="s">
        <v>163</v>
      </c>
      <c r="AH2" s="2" t="s">
        <v>164</v>
      </c>
      <c r="AI2" s="2" t="s">
        <v>165</v>
      </c>
      <c r="AJ2" s="2" t="s">
        <v>166</v>
      </c>
      <c r="AK2" s="2" t="s">
        <v>167</v>
      </c>
      <c r="AL2" s="2" t="s">
        <v>168</v>
      </c>
      <c r="AM2" s="2" t="s">
        <v>169</v>
      </c>
      <c r="AN2" s="2" t="s">
        <v>170</v>
      </c>
      <c r="AO2" s="2" t="s">
        <v>171</v>
      </c>
      <c r="AP2" s="2" t="s">
        <v>172</v>
      </c>
      <c r="AQ2" s="2" t="s">
        <v>173</v>
      </c>
      <c r="AR2" s="2" t="s">
        <v>174</v>
      </c>
    </row>
    <row r="3" spans="1:44">
      <c r="A3" s="15" t="s">
        <v>175</v>
      </c>
      <c r="B3" s="15" t="s">
        <v>177</v>
      </c>
      <c r="C3" s="15" t="s">
        <v>181</v>
      </c>
      <c r="D3" s="15" t="s">
        <v>181</v>
      </c>
      <c r="E3" s="15" t="s">
        <v>183</v>
      </c>
      <c r="F3" s="15" t="s">
        <v>183</v>
      </c>
      <c r="G3" s="15" t="s">
        <v>72</v>
      </c>
      <c r="H3" s="15" t="s">
        <v>72</v>
      </c>
      <c r="I3" s="15" t="s">
        <v>72</v>
      </c>
      <c r="J3" s="15" t="s">
        <v>72</v>
      </c>
      <c r="K3" s="15" t="b">
        <v>1</v>
      </c>
      <c r="L3" s="15" t="b">
        <v>1</v>
      </c>
      <c r="M3" s="15" t="b">
        <v>1</v>
      </c>
      <c r="N3" s="15" t="b">
        <v>1</v>
      </c>
      <c r="O3" s="15" t="b">
        <v>1</v>
      </c>
      <c r="P3" s="15" t="b">
        <v>1</v>
      </c>
      <c r="Q3" s="15" t="b">
        <v>1</v>
      </c>
      <c r="R3" s="15" t="b">
        <v>1</v>
      </c>
      <c r="S3" s="15" t="b">
        <v>1</v>
      </c>
      <c r="T3" s="15" t="b">
        <v>1</v>
      </c>
      <c r="U3" s="15" t="b">
        <v>1</v>
      </c>
      <c r="V3" s="15" t="b">
        <v>1</v>
      </c>
      <c r="W3" s="15" t="s">
        <v>184</v>
      </c>
      <c r="X3" s="15" t="s">
        <v>184</v>
      </c>
      <c r="Y3" s="15">
        <v>14100</v>
      </c>
      <c r="Z3" s="15">
        <v>14100</v>
      </c>
      <c r="AA3" s="15">
        <v>11562</v>
      </c>
      <c r="AB3" s="15">
        <v>12949.44</v>
      </c>
      <c r="AC3" s="15">
        <v>11562</v>
      </c>
      <c r="AD3" s="15">
        <v>12949.44</v>
      </c>
      <c r="AE3" s="15">
        <v>11562</v>
      </c>
      <c r="AF3" s="15">
        <v>12949.44</v>
      </c>
      <c r="AG3" s="6">
        <v>0.4835390946502058</v>
      </c>
      <c r="AH3" s="6">
        <v>0.4835390946502058</v>
      </c>
      <c r="AI3" s="6">
        <v>0.4835390946502057</v>
      </c>
      <c r="AJ3" s="6">
        <v>0.4835390946502057</v>
      </c>
      <c r="AK3" s="6">
        <v>0.4835390946502057</v>
      </c>
      <c r="AL3" s="6">
        <v>0.4835390946502057</v>
      </c>
      <c r="AM3" s="15" t="s">
        <v>185</v>
      </c>
      <c r="AN3" s="15" t="s">
        <v>185</v>
      </c>
      <c r="AO3" s="15">
        <v>29160</v>
      </c>
      <c r="AP3" s="15">
        <v>29160</v>
      </c>
      <c r="AQ3" s="15">
        <v>2</v>
      </c>
      <c r="AR3" s="15">
        <v>2</v>
      </c>
    </row>
    <row r="4" spans="1:44">
      <c r="A4" s="15" t="s">
        <v>175</v>
      </c>
      <c r="B4" s="15" t="s">
        <v>178</v>
      </c>
      <c r="C4" s="15" t="s">
        <v>181</v>
      </c>
      <c r="D4" s="15" t="s">
        <v>181</v>
      </c>
      <c r="E4" s="15" t="s">
        <v>183</v>
      </c>
      <c r="F4" s="15" t="s">
        <v>183</v>
      </c>
      <c r="G4" s="15" t="s">
        <v>72</v>
      </c>
      <c r="H4" s="15" t="s">
        <v>72</v>
      </c>
      <c r="I4" s="15" t="s">
        <v>72</v>
      </c>
      <c r="J4" s="15" t="s">
        <v>72</v>
      </c>
      <c r="K4" s="15" t="b">
        <v>1</v>
      </c>
      <c r="L4" s="15" t="b">
        <v>1</v>
      </c>
      <c r="M4" s="15" t="b">
        <v>1</v>
      </c>
      <c r="N4" s="15" t="b">
        <v>1</v>
      </c>
      <c r="O4" s="15" t="b">
        <v>1</v>
      </c>
      <c r="P4" s="15" t="b">
        <v>1</v>
      </c>
      <c r="Q4" s="15" t="b">
        <v>1</v>
      </c>
      <c r="R4" s="15" t="b">
        <v>1</v>
      </c>
      <c r="S4" s="15" t="b">
        <v>1</v>
      </c>
      <c r="T4" s="15" t="b">
        <v>1</v>
      </c>
      <c r="U4" s="15" t="b">
        <v>1</v>
      </c>
      <c r="V4" s="15" t="b">
        <v>1</v>
      </c>
      <c r="W4" s="15" t="s">
        <v>184</v>
      </c>
      <c r="X4" s="15" t="s">
        <v>184</v>
      </c>
      <c r="Y4" s="15">
        <v>15060</v>
      </c>
      <c r="Z4" s="15">
        <v>15060</v>
      </c>
      <c r="AA4" s="15">
        <v>12349.2</v>
      </c>
      <c r="AB4" s="15">
        <v>13831.104</v>
      </c>
      <c r="AC4" s="15">
        <v>12349.2</v>
      </c>
      <c r="AD4" s="15">
        <v>13831.104</v>
      </c>
      <c r="AE4" s="15">
        <v>12349.2</v>
      </c>
      <c r="AF4" s="15">
        <v>13831.104</v>
      </c>
      <c r="AG4" s="6">
        <v>0.5164609053497943</v>
      </c>
      <c r="AH4" s="6">
        <v>0.5164609053497943</v>
      </c>
      <c r="AI4" s="6">
        <v>0.5164609053497943</v>
      </c>
      <c r="AJ4" s="6">
        <v>0.5164609053497942</v>
      </c>
      <c r="AK4" s="6">
        <v>0.5164609053497943</v>
      </c>
      <c r="AL4" s="6">
        <v>0.5164609053497942</v>
      </c>
      <c r="AM4" s="15" t="s">
        <v>185</v>
      </c>
      <c r="AN4" s="15" t="s">
        <v>185</v>
      </c>
      <c r="AO4" s="15">
        <v>29160</v>
      </c>
      <c r="AP4" s="15">
        <v>29160</v>
      </c>
      <c r="AQ4" s="15">
        <v>2</v>
      </c>
      <c r="AR4" s="15">
        <v>2</v>
      </c>
    </row>
    <row r="5" spans="1:44">
      <c r="A5" s="15" t="s">
        <v>176</v>
      </c>
      <c r="B5" s="15" t="s">
        <v>179</v>
      </c>
      <c r="C5" s="15" t="s">
        <v>182</v>
      </c>
      <c r="D5" s="15" t="s">
        <v>182</v>
      </c>
      <c r="E5" s="15" t="s">
        <v>183</v>
      </c>
      <c r="F5" s="15" t="s">
        <v>183</v>
      </c>
      <c r="G5" s="15" t="s">
        <v>72</v>
      </c>
      <c r="H5" s="15" t="s">
        <v>72</v>
      </c>
      <c r="I5" s="15" t="s">
        <v>72</v>
      </c>
      <c r="J5" s="15" t="s">
        <v>72</v>
      </c>
      <c r="K5" s="15" t="b">
        <v>1</v>
      </c>
      <c r="L5" s="15" t="b">
        <v>1</v>
      </c>
      <c r="M5" s="15" t="b">
        <v>1</v>
      </c>
      <c r="N5" s="15" t="b">
        <v>1</v>
      </c>
      <c r="O5" s="15" t="b">
        <v>1</v>
      </c>
      <c r="P5" s="15" t="b">
        <v>1</v>
      </c>
      <c r="Q5" s="15" t="b">
        <v>1</v>
      </c>
      <c r="R5" s="15" t="b">
        <v>1</v>
      </c>
      <c r="S5" s="15" t="b">
        <v>1</v>
      </c>
      <c r="T5" s="15" t="b">
        <v>1</v>
      </c>
      <c r="U5" s="15" t="b">
        <v>1</v>
      </c>
      <c r="V5" s="15" t="b">
        <v>1</v>
      </c>
      <c r="W5" s="15" t="s">
        <v>184</v>
      </c>
      <c r="X5" s="15" t="s">
        <v>184</v>
      </c>
      <c r="Y5" s="15">
        <v>16500</v>
      </c>
      <c r="Z5" s="15">
        <v>16500</v>
      </c>
      <c r="AA5" s="15">
        <v>13530</v>
      </c>
      <c r="AB5" s="15">
        <v>15153.6</v>
      </c>
      <c r="AC5" s="15">
        <v>13530</v>
      </c>
      <c r="AD5" s="15">
        <v>15153.6</v>
      </c>
      <c r="AE5" s="15">
        <v>13530</v>
      </c>
      <c r="AF5" s="15">
        <v>15153.6</v>
      </c>
      <c r="AG5" s="6">
        <v>0.4858657243816255</v>
      </c>
      <c r="AH5" s="6">
        <v>0.4858657243816255</v>
      </c>
      <c r="AI5" s="6">
        <v>0.4858657243816255</v>
      </c>
      <c r="AJ5" s="6">
        <v>0.4858657243816255</v>
      </c>
      <c r="AK5" s="6">
        <v>0.4858657243816255</v>
      </c>
      <c r="AL5" s="6">
        <v>0.4858657243816255</v>
      </c>
      <c r="AM5" s="15" t="s">
        <v>186</v>
      </c>
      <c r="AN5" s="15" t="s">
        <v>186</v>
      </c>
      <c r="AO5" s="15">
        <v>33960</v>
      </c>
      <c r="AP5" s="15">
        <v>33960</v>
      </c>
      <c r="AQ5" s="15">
        <v>2</v>
      </c>
      <c r="AR5" s="15">
        <v>2</v>
      </c>
    </row>
    <row r="6" spans="1:44">
      <c r="A6" s="15" t="s">
        <v>176</v>
      </c>
      <c r="B6" s="15" t="s">
        <v>180</v>
      </c>
      <c r="C6" s="15" t="s">
        <v>182</v>
      </c>
      <c r="D6" s="15" t="s">
        <v>182</v>
      </c>
      <c r="E6" s="15" t="s">
        <v>183</v>
      </c>
      <c r="F6" s="15" t="s">
        <v>183</v>
      </c>
      <c r="G6" s="15" t="s">
        <v>72</v>
      </c>
      <c r="H6" s="15" t="s">
        <v>72</v>
      </c>
      <c r="I6" s="15" t="s">
        <v>72</v>
      </c>
      <c r="J6" s="15" t="s">
        <v>72</v>
      </c>
      <c r="K6" s="15" t="b">
        <v>1</v>
      </c>
      <c r="L6" s="15" t="b">
        <v>1</v>
      </c>
      <c r="M6" s="15" t="b">
        <v>1</v>
      </c>
      <c r="N6" s="15" t="b">
        <v>1</v>
      </c>
      <c r="O6" s="15" t="b">
        <v>1</v>
      </c>
      <c r="P6" s="15" t="b">
        <v>1</v>
      </c>
      <c r="Q6" s="15" t="b">
        <v>1</v>
      </c>
      <c r="R6" s="15" t="b">
        <v>1</v>
      </c>
      <c r="S6" s="15" t="b">
        <v>1</v>
      </c>
      <c r="T6" s="15" t="b">
        <v>1</v>
      </c>
      <c r="U6" s="15" t="b">
        <v>1</v>
      </c>
      <c r="V6" s="15" t="b">
        <v>1</v>
      </c>
      <c r="W6" s="15" t="s">
        <v>184</v>
      </c>
      <c r="X6" s="15" t="s">
        <v>184</v>
      </c>
      <c r="Y6" s="15">
        <v>17460</v>
      </c>
      <c r="Z6" s="15">
        <v>17460</v>
      </c>
      <c r="AA6" s="15">
        <v>14317.2</v>
      </c>
      <c r="AB6" s="15">
        <v>16035.264</v>
      </c>
      <c r="AC6" s="15">
        <v>14317.2</v>
      </c>
      <c r="AD6" s="15">
        <v>16035.264</v>
      </c>
      <c r="AE6" s="15">
        <v>14317.2</v>
      </c>
      <c r="AF6" s="15">
        <v>16035.264</v>
      </c>
      <c r="AG6" s="6">
        <v>0.5141342756183745</v>
      </c>
      <c r="AH6" s="6">
        <v>0.5141342756183745</v>
      </c>
      <c r="AI6" s="6">
        <v>0.5141342756183745</v>
      </c>
      <c r="AJ6" s="6">
        <v>0.5141342756183745</v>
      </c>
      <c r="AK6" s="6">
        <v>0.5141342756183745</v>
      </c>
      <c r="AL6" s="6">
        <v>0.5141342756183745</v>
      </c>
      <c r="AM6" s="15" t="s">
        <v>186</v>
      </c>
      <c r="AN6" s="15" t="s">
        <v>186</v>
      </c>
      <c r="AO6" s="15">
        <v>33960</v>
      </c>
      <c r="AP6" s="15">
        <v>33960</v>
      </c>
      <c r="AQ6" s="15">
        <v>2</v>
      </c>
      <c r="AR6" s="15">
        <v>2</v>
      </c>
    </row>
  </sheetData>
  <autoFilter ref="A2:AR6"/>
  <mergeCells count="1">
    <mergeCell ref="A1:A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O4"/>
  <sheetViews>
    <sheetView workbookViewId="0"/>
  </sheetViews>
  <sheetFormatPr defaultRowHeight="15"/>
  <cols>
    <col min="1" max="1" width="17.7109375" style="15" customWidth="1"/>
    <col min="2" max="3" width="20.7109375" style="15" customWidth="1"/>
    <col min="4" max="5" width="17.7109375" style="15" customWidth="1"/>
    <col min="6" max="7" width="18.7109375" style="15" customWidth="1"/>
    <col min="8" max="9" width="19.7109375" style="15" customWidth="1"/>
    <col min="10" max="11" width="20.7109375" style="15" customWidth="1"/>
    <col min="12" max="13" width="19.7109375" style="15" customWidth="1"/>
    <col min="14" max="33" width="20.7109375" style="15" customWidth="1"/>
    <col min="34" max="39" width="18.7109375" style="6" customWidth="1"/>
    <col min="40" max="41" width="20.7109375" style="15" customWidth="1"/>
  </cols>
  <sheetData>
    <row r="1" spans="1:41">
      <c r="A1" s="16" t="s">
        <v>214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</row>
    <row r="2" spans="1:41">
      <c r="A2" s="2" t="s">
        <v>70</v>
      </c>
      <c r="B2" s="2" t="s">
        <v>188</v>
      </c>
      <c r="C2" s="2" t="s">
        <v>189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190</v>
      </c>
      <c r="K2" s="2" t="s">
        <v>191</v>
      </c>
      <c r="L2" s="2" t="s">
        <v>192</v>
      </c>
      <c r="M2" s="2" t="s">
        <v>193</v>
      </c>
      <c r="N2" s="2" t="s">
        <v>194</v>
      </c>
      <c r="O2" s="2" t="s">
        <v>195</v>
      </c>
      <c r="P2" s="2" t="s">
        <v>196</v>
      </c>
      <c r="Q2" s="2" t="s">
        <v>197</v>
      </c>
      <c r="R2" s="2" t="s">
        <v>171</v>
      </c>
      <c r="S2" s="2" t="s">
        <v>172</v>
      </c>
      <c r="T2" s="2" t="s">
        <v>173</v>
      </c>
      <c r="U2" s="2" t="s">
        <v>174</v>
      </c>
      <c r="V2" s="2" t="s">
        <v>198</v>
      </c>
      <c r="W2" s="2" t="s">
        <v>199</v>
      </c>
      <c r="X2" s="2" t="s">
        <v>200</v>
      </c>
      <c r="Y2" s="2" t="s">
        <v>201</v>
      </c>
      <c r="Z2" s="2" t="s">
        <v>202</v>
      </c>
      <c r="AA2" s="2" t="s">
        <v>203</v>
      </c>
      <c r="AB2" s="2" t="s">
        <v>204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209</v>
      </c>
      <c r="AH2" s="2" t="s">
        <v>60</v>
      </c>
      <c r="AI2" s="2" t="s">
        <v>61</v>
      </c>
      <c r="AJ2" s="2" t="s">
        <v>62</v>
      </c>
      <c r="AK2" s="2" t="s">
        <v>63</v>
      </c>
      <c r="AL2" s="2" t="s">
        <v>210</v>
      </c>
      <c r="AM2" s="2" t="s">
        <v>211</v>
      </c>
      <c r="AN2" s="2" t="s">
        <v>212</v>
      </c>
      <c r="AO2" s="2" t="s">
        <v>213</v>
      </c>
    </row>
    <row r="3" spans="1:41">
      <c r="A3" s="15" t="s">
        <v>175</v>
      </c>
      <c r="B3" s="15" t="s">
        <v>72</v>
      </c>
      <c r="C3" s="15" t="s">
        <v>72</v>
      </c>
      <c r="D3" s="15">
        <v>2</v>
      </c>
      <c r="E3" s="15">
        <v>2</v>
      </c>
      <c r="F3" s="15">
        <v>2</v>
      </c>
      <c r="G3" s="15">
        <v>2</v>
      </c>
      <c r="H3" s="15">
        <v>2</v>
      </c>
      <c r="I3" s="15">
        <v>2</v>
      </c>
      <c r="J3" s="15">
        <v>2</v>
      </c>
      <c r="K3" s="15">
        <v>2</v>
      </c>
      <c r="L3" s="15">
        <v>29160</v>
      </c>
      <c r="M3" s="15">
        <v>29160</v>
      </c>
      <c r="N3" s="15">
        <v>23911.2</v>
      </c>
      <c r="O3" s="15">
        <v>26780.544</v>
      </c>
      <c r="P3" s="15">
        <v>23911.2</v>
      </c>
      <c r="Q3" s="15">
        <v>26780.544</v>
      </c>
      <c r="R3" s="15">
        <v>29160</v>
      </c>
      <c r="S3" s="15">
        <v>29160</v>
      </c>
      <c r="T3" s="15">
        <v>2</v>
      </c>
      <c r="U3" s="15">
        <v>2</v>
      </c>
      <c r="V3" s="15">
        <v>2</v>
      </c>
      <c r="W3" s="15">
        <v>2</v>
      </c>
      <c r="X3" s="15">
        <v>23911.2</v>
      </c>
      <c r="Y3" s="15">
        <v>26780.544</v>
      </c>
      <c r="Z3" s="15">
        <v>29160</v>
      </c>
      <c r="AA3" s="15">
        <v>29160</v>
      </c>
      <c r="AB3" s="15">
        <v>23911.2</v>
      </c>
      <c r="AC3" s="15">
        <v>26780.544</v>
      </c>
      <c r="AD3" s="15">
        <v>23911.2</v>
      </c>
      <c r="AE3" s="15">
        <v>26780.544</v>
      </c>
      <c r="AF3" s="15">
        <v>23911.2</v>
      </c>
      <c r="AG3" s="15">
        <v>26780.544</v>
      </c>
      <c r="AH3" s="6">
        <v>1</v>
      </c>
      <c r="AI3" s="6">
        <v>1</v>
      </c>
      <c r="AJ3" s="6">
        <v>1</v>
      </c>
      <c r="AK3" s="6">
        <v>1</v>
      </c>
      <c r="AL3" s="6">
        <v>1</v>
      </c>
      <c r="AM3" s="6">
        <v>1</v>
      </c>
      <c r="AN3" s="15">
        <v>1</v>
      </c>
      <c r="AO3" s="15">
        <v>1</v>
      </c>
    </row>
    <row r="4" spans="1:41">
      <c r="A4" s="15" t="s">
        <v>176</v>
      </c>
      <c r="B4" s="15" t="s">
        <v>72</v>
      </c>
      <c r="C4" s="15" t="s">
        <v>72</v>
      </c>
      <c r="D4" s="15">
        <v>2</v>
      </c>
      <c r="E4" s="15">
        <v>2</v>
      </c>
      <c r="F4" s="15">
        <v>2</v>
      </c>
      <c r="G4" s="15">
        <v>2</v>
      </c>
      <c r="H4" s="15">
        <v>2</v>
      </c>
      <c r="I4" s="15">
        <v>2</v>
      </c>
      <c r="J4" s="15">
        <v>2</v>
      </c>
      <c r="K4" s="15">
        <v>2</v>
      </c>
      <c r="L4" s="15">
        <v>33960</v>
      </c>
      <c r="M4" s="15">
        <v>33960</v>
      </c>
      <c r="N4" s="15">
        <v>27847.2</v>
      </c>
      <c r="O4" s="15">
        <v>31188.864</v>
      </c>
      <c r="P4" s="15">
        <v>27847.2</v>
      </c>
      <c r="Q4" s="15">
        <v>31188.864</v>
      </c>
      <c r="R4" s="15">
        <v>33960</v>
      </c>
      <c r="S4" s="15">
        <v>33960</v>
      </c>
      <c r="T4" s="15">
        <v>2</v>
      </c>
      <c r="U4" s="15">
        <v>2</v>
      </c>
      <c r="V4" s="15">
        <v>2</v>
      </c>
      <c r="W4" s="15">
        <v>2</v>
      </c>
      <c r="X4" s="15">
        <v>27847.2</v>
      </c>
      <c r="Y4" s="15">
        <v>31188.864</v>
      </c>
      <c r="Z4" s="15">
        <v>33960</v>
      </c>
      <c r="AA4" s="15">
        <v>33960</v>
      </c>
      <c r="AB4" s="15">
        <v>27847.2</v>
      </c>
      <c r="AC4" s="15">
        <v>31188.864</v>
      </c>
      <c r="AD4" s="15">
        <v>27847.2</v>
      </c>
      <c r="AE4" s="15">
        <v>31188.864</v>
      </c>
      <c r="AF4" s="15">
        <v>27847.2</v>
      </c>
      <c r="AG4" s="15">
        <v>31188.864</v>
      </c>
      <c r="AH4" s="6">
        <v>1</v>
      </c>
      <c r="AI4" s="6">
        <v>1</v>
      </c>
      <c r="AJ4" s="6">
        <v>1</v>
      </c>
      <c r="AK4" s="6">
        <v>1</v>
      </c>
      <c r="AL4" s="6">
        <v>1</v>
      </c>
      <c r="AM4" s="6">
        <v>1</v>
      </c>
      <c r="AN4" s="15">
        <v>1</v>
      </c>
      <c r="AO4" s="15">
        <v>1</v>
      </c>
    </row>
  </sheetData>
  <autoFilter ref="A2:AO4"/>
  <mergeCells count="1">
    <mergeCell ref="A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cols>
    <col min="1" max="3" width="20.7109375" style="15" customWidth="1"/>
  </cols>
  <sheetData>
    <row r="1" spans="1:3">
      <c r="A1" s="16" t="s">
        <v>272</v>
      </c>
      <c r="B1" s="16"/>
      <c r="C1" s="16"/>
    </row>
    <row r="2" spans="1:3">
      <c r="A2" s="2" t="s">
        <v>215</v>
      </c>
      <c r="B2" s="2" t="s">
        <v>216</v>
      </c>
      <c r="C2" s="2" t="s">
        <v>217</v>
      </c>
    </row>
    <row r="3" spans="1:3">
      <c r="A3" s="15" t="s">
        <v>218</v>
      </c>
      <c r="B3" s="15" t="s">
        <v>247</v>
      </c>
      <c r="C3" s="15" t="s">
        <v>247</v>
      </c>
    </row>
    <row r="4" spans="1:3">
      <c r="A4" s="15" t="s">
        <v>219</v>
      </c>
      <c r="B4" s="15" t="s">
        <v>248</v>
      </c>
      <c r="C4" s="15" t="s">
        <v>248</v>
      </c>
    </row>
    <row r="5" spans="1:3">
      <c r="A5" s="15" t="s">
        <v>220</v>
      </c>
      <c r="B5" s="15" t="s">
        <v>249</v>
      </c>
      <c r="C5" s="15" t="s">
        <v>249</v>
      </c>
    </row>
    <row r="6" spans="1:3">
      <c r="A6" s="15" t="s">
        <v>221</v>
      </c>
      <c r="B6" s="15" t="s">
        <v>250</v>
      </c>
      <c r="C6" s="15" t="s">
        <v>269</v>
      </c>
    </row>
    <row r="7" spans="1:3">
      <c r="A7" s="15" t="s">
        <v>222</v>
      </c>
      <c r="B7" s="15" t="s">
        <v>251</v>
      </c>
      <c r="C7" s="15" t="s">
        <v>251</v>
      </c>
    </row>
    <row r="8" spans="1:3">
      <c r="A8" s="15" t="s">
        <v>223</v>
      </c>
      <c r="B8" s="15" t="s">
        <v>252</v>
      </c>
      <c r="C8" s="15" t="s">
        <v>252</v>
      </c>
    </row>
    <row r="9" spans="1:3">
      <c r="A9" s="15" t="s">
        <v>224</v>
      </c>
      <c r="B9" s="15" t="s">
        <v>253</v>
      </c>
      <c r="C9" s="15" t="s">
        <v>253</v>
      </c>
    </row>
    <row r="10" spans="1:3">
      <c r="A10" s="15" t="s">
        <v>225</v>
      </c>
      <c r="B10" s="15" t="s">
        <v>254</v>
      </c>
      <c r="C10" s="15" t="s">
        <v>270</v>
      </c>
    </row>
    <row r="11" spans="1:3">
      <c r="A11" s="15" t="s">
        <v>226</v>
      </c>
      <c r="B11" s="15" t="s">
        <v>255</v>
      </c>
      <c r="C11" s="15" t="s">
        <v>255</v>
      </c>
    </row>
    <row r="12" spans="1:3">
      <c r="A12" s="15" t="s">
        <v>227</v>
      </c>
      <c r="B12" s="15" t="s">
        <v>256</v>
      </c>
      <c r="C12" s="15" t="s">
        <v>256</v>
      </c>
    </row>
    <row r="13" spans="1:3">
      <c r="A13" s="15" t="s">
        <v>228</v>
      </c>
      <c r="B13" s="15" t="s">
        <v>257</v>
      </c>
      <c r="C13" s="15" t="s">
        <v>257</v>
      </c>
    </row>
    <row r="14" spans="1:3">
      <c r="A14" s="15" t="s">
        <v>229</v>
      </c>
      <c r="B14" s="15" t="s">
        <v>72</v>
      </c>
      <c r="C14" s="15" t="s">
        <v>72</v>
      </c>
    </row>
    <row r="15" spans="1:3">
      <c r="A15" s="15" t="s">
        <v>230</v>
      </c>
    </row>
    <row r="16" spans="1:3">
      <c r="A16" s="15" t="s">
        <v>231</v>
      </c>
      <c r="B16" s="15" t="s">
        <v>258</v>
      </c>
      <c r="C16" s="15" t="s">
        <v>258</v>
      </c>
    </row>
    <row r="17" spans="1:3">
      <c r="A17" s="15" t="s">
        <v>232</v>
      </c>
      <c r="B17" s="15" t="s">
        <v>259</v>
      </c>
      <c r="C17" s="15" t="s">
        <v>271</v>
      </c>
    </row>
    <row r="18" spans="1:3">
      <c r="A18" s="15" t="s">
        <v>233</v>
      </c>
      <c r="B18" s="15" t="s">
        <v>259</v>
      </c>
      <c r="C18" s="15" t="s">
        <v>271</v>
      </c>
    </row>
    <row r="19" spans="1:3">
      <c r="A19" s="15" t="s">
        <v>234</v>
      </c>
      <c r="B19" s="15" t="s">
        <v>260</v>
      </c>
      <c r="C19" s="15" t="s">
        <v>260</v>
      </c>
    </row>
    <row r="20" spans="1:3">
      <c r="A20" s="15" t="s">
        <v>235</v>
      </c>
      <c r="B20" s="15" t="s">
        <v>261</v>
      </c>
      <c r="C20" s="15" t="s">
        <v>261</v>
      </c>
    </row>
    <row r="21" spans="1:3">
      <c r="A21" s="15" t="s">
        <v>236</v>
      </c>
      <c r="B21" s="15" t="s">
        <v>262</v>
      </c>
      <c r="C21" s="15" t="s">
        <v>262</v>
      </c>
    </row>
    <row r="22" spans="1:3">
      <c r="A22" s="15" t="s">
        <v>237</v>
      </c>
      <c r="B22" s="15" t="s">
        <v>263</v>
      </c>
      <c r="C22" s="15" t="s">
        <v>263</v>
      </c>
    </row>
    <row r="23" spans="1:3">
      <c r="A23" s="15" t="s">
        <v>238</v>
      </c>
      <c r="B23" s="15" t="s">
        <v>264</v>
      </c>
      <c r="C23" s="15" t="s">
        <v>264</v>
      </c>
    </row>
    <row r="24" spans="1:3">
      <c r="A24" s="15" t="s">
        <v>239</v>
      </c>
      <c r="B24" s="15" t="s">
        <v>265</v>
      </c>
      <c r="C24" s="15" t="s">
        <v>265</v>
      </c>
    </row>
    <row r="25" spans="1:3">
      <c r="A25" s="15" t="s">
        <v>240</v>
      </c>
      <c r="B25" s="15" t="s">
        <v>266</v>
      </c>
      <c r="C25" s="15" t="s">
        <v>266</v>
      </c>
    </row>
    <row r="26" spans="1:3">
      <c r="A26" s="15" t="s">
        <v>241</v>
      </c>
      <c r="B26" s="15" t="s">
        <v>267</v>
      </c>
      <c r="C26" s="15" t="s">
        <v>267</v>
      </c>
    </row>
    <row r="27" spans="1:3">
      <c r="A27" s="15" t="s">
        <v>242</v>
      </c>
      <c r="B27" s="15" t="s">
        <v>268</v>
      </c>
      <c r="C27" s="15" t="s">
        <v>268</v>
      </c>
    </row>
    <row r="28" spans="1:3">
      <c r="A28" s="15" t="s">
        <v>243</v>
      </c>
      <c r="B28" s="15" t="s">
        <v>258</v>
      </c>
      <c r="C28" s="15" t="s">
        <v>258</v>
      </c>
    </row>
    <row r="29" spans="1:3">
      <c r="A29" s="15" t="s">
        <v>244</v>
      </c>
      <c r="B29" s="15" t="s">
        <v>258</v>
      </c>
      <c r="C29" s="15" t="s">
        <v>258</v>
      </c>
    </row>
    <row r="30" spans="1:3">
      <c r="A30" s="15" t="s">
        <v>245</v>
      </c>
      <c r="B30" s="15" t="s">
        <v>253</v>
      </c>
      <c r="C30" s="15" t="s">
        <v>253</v>
      </c>
    </row>
    <row r="31" spans="1:3">
      <c r="A31" s="15" t="s">
        <v>246</v>
      </c>
      <c r="B31" s="15" t="s">
        <v>247</v>
      </c>
      <c r="C31" s="15" t="s">
        <v>247</v>
      </c>
    </row>
  </sheetData>
  <autoFilter ref="A2:C31"/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cols>
    <col min="1" max="6" width="20.7109375" style="15" customWidth="1"/>
  </cols>
  <sheetData>
    <row r="1" spans="1:6">
      <c r="A1" s="16" t="s">
        <v>388</v>
      </c>
      <c r="B1" s="16"/>
      <c r="C1" s="16"/>
      <c r="D1" s="16"/>
      <c r="E1" s="16"/>
      <c r="F1" s="16"/>
    </row>
    <row r="2" spans="1:6">
      <c r="A2" s="2" t="s">
        <v>273</v>
      </c>
      <c r="B2" s="2" t="s">
        <v>274</v>
      </c>
      <c r="C2" s="2" t="s">
        <v>275</v>
      </c>
      <c r="D2" s="2" t="s">
        <v>276</v>
      </c>
      <c r="E2" s="2" t="s">
        <v>277</v>
      </c>
      <c r="F2" s="2" t="s">
        <v>278</v>
      </c>
    </row>
    <row r="3" spans="1:6">
      <c r="A3" s="15" t="s">
        <v>279</v>
      </c>
      <c r="B3" s="15" t="s">
        <v>286</v>
      </c>
      <c r="C3" s="15" t="s">
        <v>316</v>
      </c>
      <c r="D3" s="15" t="s">
        <v>316</v>
      </c>
      <c r="E3" s="15" t="s">
        <v>353</v>
      </c>
      <c r="F3" s="15" t="s">
        <v>353</v>
      </c>
    </row>
    <row r="4" spans="1:6">
      <c r="A4" s="15" t="s">
        <v>279</v>
      </c>
      <c r="B4" s="15" t="s">
        <v>287</v>
      </c>
      <c r="C4" s="15" t="s">
        <v>317</v>
      </c>
      <c r="D4" s="15" t="s">
        <v>317</v>
      </c>
      <c r="E4" s="15" t="s">
        <v>354</v>
      </c>
      <c r="F4" s="15" t="s">
        <v>354</v>
      </c>
    </row>
    <row r="5" spans="1:6">
      <c r="A5" s="15" t="s">
        <v>279</v>
      </c>
      <c r="B5" s="15" t="s">
        <v>96</v>
      </c>
      <c r="C5" s="15" t="s">
        <v>318</v>
      </c>
      <c r="D5" s="15" t="s">
        <v>318</v>
      </c>
      <c r="E5" s="15" t="s">
        <v>355</v>
      </c>
      <c r="F5" s="15" t="s">
        <v>355</v>
      </c>
    </row>
    <row r="6" spans="1:6">
      <c r="A6" s="15" t="s">
        <v>279</v>
      </c>
      <c r="B6" s="15" t="s">
        <v>288</v>
      </c>
      <c r="C6" s="15" t="s">
        <v>319</v>
      </c>
      <c r="D6" s="15" t="s">
        <v>319</v>
      </c>
      <c r="E6" s="15" t="s">
        <v>356</v>
      </c>
      <c r="F6" s="15" t="s">
        <v>356</v>
      </c>
    </row>
    <row r="7" spans="1:6">
      <c r="A7" s="15" t="s">
        <v>279</v>
      </c>
      <c r="B7" s="15" t="s">
        <v>88</v>
      </c>
      <c r="C7" s="15" t="s">
        <v>320</v>
      </c>
      <c r="D7" s="15" t="s">
        <v>320</v>
      </c>
      <c r="E7" s="15" t="s">
        <v>357</v>
      </c>
      <c r="F7" s="15" t="s">
        <v>357</v>
      </c>
    </row>
    <row r="8" spans="1:6">
      <c r="A8" s="15" t="s">
        <v>279</v>
      </c>
      <c r="B8" s="15" t="s">
        <v>289</v>
      </c>
      <c r="C8" s="15" t="s">
        <v>321</v>
      </c>
      <c r="D8" s="15" t="s">
        <v>321</v>
      </c>
      <c r="E8" s="15" t="s">
        <v>358</v>
      </c>
      <c r="F8" s="15" t="s">
        <v>358</v>
      </c>
    </row>
    <row r="9" spans="1:6">
      <c r="A9" s="15" t="s">
        <v>279</v>
      </c>
      <c r="B9" s="15" t="s">
        <v>290</v>
      </c>
      <c r="C9" s="15" t="s">
        <v>322</v>
      </c>
      <c r="D9" s="15" t="s">
        <v>322</v>
      </c>
      <c r="E9" s="15" t="s">
        <v>359</v>
      </c>
      <c r="F9" s="15" t="s">
        <v>359</v>
      </c>
    </row>
    <row r="10" spans="1:6">
      <c r="A10" s="15" t="s">
        <v>279</v>
      </c>
      <c r="B10" s="15" t="s">
        <v>291</v>
      </c>
      <c r="C10" s="15" t="s">
        <v>323</v>
      </c>
      <c r="D10" s="15" t="s">
        <v>323</v>
      </c>
      <c r="E10" s="15" t="s">
        <v>360</v>
      </c>
      <c r="F10" s="15" t="s">
        <v>360</v>
      </c>
    </row>
    <row r="11" spans="1:6">
      <c r="A11" s="15" t="s">
        <v>279</v>
      </c>
      <c r="B11" s="15" t="s">
        <v>292</v>
      </c>
      <c r="C11" s="15" t="s">
        <v>324</v>
      </c>
      <c r="D11" s="15" t="s">
        <v>324</v>
      </c>
      <c r="E11" s="15" t="s">
        <v>361</v>
      </c>
      <c r="F11" s="15" t="s">
        <v>361</v>
      </c>
    </row>
    <row r="12" spans="1:6">
      <c r="A12" s="15" t="s">
        <v>279</v>
      </c>
      <c r="B12" s="15" t="s">
        <v>293</v>
      </c>
      <c r="C12" s="15" t="s">
        <v>325</v>
      </c>
      <c r="D12" s="15" t="s">
        <v>325</v>
      </c>
      <c r="E12" s="15" t="s">
        <v>362</v>
      </c>
      <c r="F12" s="15" t="s">
        <v>362</v>
      </c>
    </row>
    <row r="13" spans="1:6">
      <c r="A13" s="15" t="s">
        <v>280</v>
      </c>
      <c r="B13" s="15" t="s">
        <v>294</v>
      </c>
      <c r="C13" s="15" t="s">
        <v>326</v>
      </c>
      <c r="D13" s="15" t="s">
        <v>326</v>
      </c>
      <c r="E13" s="15" t="s">
        <v>363</v>
      </c>
      <c r="F13" s="15" t="s">
        <v>363</v>
      </c>
    </row>
    <row r="14" spans="1:6">
      <c r="A14" s="15" t="s">
        <v>281</v>
      </c>
      <c r="B14" s="15" t="s">
        <v>295</v>
      </c>
      <c r="C14" s="15" t="s">
        <v>327</v>
      </c>
      <c r="D14" s="15" t="s">
        <v>327</v>
      </c>
      <c r="E14" s="15" t="s">
        <v>364</v>
      </c>
      <c r="F14" s="15" t="s">
        <v>364</v>
      </c>
    </row>
    <row r="15" spans="1:6">
      <c r="A15" s="15" t="s">
        <v>281</v>
      </c>
      <c r="B15" s="15" t="s">
        <v>296</v>
      </c>
      <c r="C15" s="15" t="s">
        <v>328</v>
      </c>
      <c r="D15" s="15" t="s">
        <v>328</v>
      </c>
      <c r="E15" s="15" t="s">
        <v>365</v>
      </c>
      <c r="F15" s="15" t="s">
        <v>365</v>
      </c>
    </row>
    <row r="16" spans="1:6">
      <c r="A16" s="15" t="s">
        <v>281</v>
      </c>
      <c r="B16" s="15" t="s">
        <v>297</v>
      </c>
      <c r="C16" s="15" t="s">
        <v>329</v>
      </c>
      <c r="D16" s="15" t="s">
        <v>329</v>
      </c>
      <c r="E16" s="15" t="s">
        <v>366</v>
      </c>
      <c r="F16" s="15" t="s">
        <v>366</v>
      </c>
    </row>
    <row r="17" spans="1:6">
      <c r="A17" s="15" t="s">
        <v>281</v>
      </c>
      <c r="B17" s="15" t="s">
        <v>298</v>
      </c>
      <c r="C17" s="15" t="s">
        <v>330</v>
      </c>
      <c r="D17" s="15" t="s">
        <v>330</v>
      </c>
      <c r="E17" s="15" t="s">
        <v>367</v>
      </c>
      <c r="F17" s="15" t="s">
        <v>367</v>
      </c>
    </row>
    <row r="18" spans="1:6">
      <c r="A18" s="15" t="s">
        <v>281</v>
      </c>
      <c r="B18" s="15" t="s">
        <v>299</v>
      </c>
      <c r="C18" s="15" t="s">
        <v>331</v>
      </c>
      <c r="D18" s="15" t="s">
        <v>331</v>
      </c>
      <c r="E18" s="15" t="s">
        <v>368</v>
      </c>
      <c r="F18" s="15" t="s">
        <v>368</v>
      </c>
    </row>
    <row r="19" spans="1:6">
      <c r="A19" s="15" t="s">
        <v>281</v>
      </c>
      <c r="B19" s="15" t="s">
        <v>300</v>
      </c>
      <c r="C19" s="15" t="s">
        <v>332</v>
      </c>
      <c r="D19" s="15" t="s">
        <v>332</v>
      </c>
      <c r="E19" s="15" t="s">
        <v>369</v>
      </c>
      <c r="F19" s="15" t="s">
        <v>369</v>
      </c>
    </row>
    <row r="20" spans="1:6">
      <c r="A20" s="15" t="s">
        <v>282</v>
      </c>
      <c r="B20" s="15" t="s">
        <v>301</v>
      </c>
      <c r="C20" s="15" t="s">
        <v>333</v>
      </c>
      <c r="D20" s="15" t="s">
        <v>333</v>
      </c>
      <c r="E20" s="15" t="s">
        <v>370</v>
      </c>
      <c r="F20" s="15" t="s">
        <v>370</v>
      </c>
    </row>
    <row r="21" spans="1:6">
      <c r="A21" s="15" t="s">
        <v>283</v>
      </c>
      <c r="B21" s="15" t="s">
        <v>218</v>
      </c>
      <c r="C21" s="15" t="s">
        <v>334</v>
      </c>
      <c r="D21" s="15" t="s">
        <v>334</v>
      </c>
      <c r="E21" s="15" t="s">
        <v>371</v>
      </c>
      <c r="F21" s="15" t="s">
        <v>371</v>
      </c>
    </row>
    <row r="22" spans="1:6">
      <c r="A22" s="15" t="s">
        <v>283</v>
      </c>
      <c r="B22" s="15" t="s">
        <v>302</v>
      </c>
      <c r="C22" s="15" t="s">
        <v>335</v>
      </c>
      <c r="D22" s="15" t="s">
        <v>335</v>
      </c>
      <c r="E22" s="15" t="s">
        <v>372</v>
      </c>
      <c r="F22" s="15" t="s">
        <v>372</v>
      </c>
    </row>
    <row r="23" spans="1:6">
      <c r="A23" s="15" t="s">
        <v>283</v>
      </c>
      <c r="B23" s="15" t="s">
        <v>303</v>
      </c>
      <c r="C23" s="15" t="s">
        <v>336</v>
      </c>
      <c r="D23" s="15" t="s">
        <v>336</v>
      </c>
      <c r="E23" s="15" t="s">
        <v>373</v>
      </c>
      <c r="F23" s="15" t="s">
        <v>373</v>
      </c>
    </row>
    <row r="24" spans="1:6">
      <c r="A24" s="15" t="s">
        <v>284</v>
      </c>
      <c r="B24" s="15" t="s">
        <v>304</v>
      </c>
      <c r="C24" s="15" t="s">
        <v>337</v>
      </c>
      <c r="D24" s="15" t="s">
        <v>337</v>
      </c>
      <c r="E24" s="15" t="s">
        <v>374</v>
      </c>
      <c r="F24" s="15" t="s">
        <v>374</v>
      </c>
    </row>
    <row r="25" spans="1:6">
      <c r="A25" s="15" t="s">
        <v>284</v>
      </c>
      <c r="B25" s="15" t="s">
        <v>7</v>
      </c>
      <c r="C25" s="15" t="s">
        <v>338</v>
      </c>
      <c r="D25" s="15" t="s">
        <v>338</v>
      </c>
      <c r="E25" s="15" t="s">
        <v>375</v>
      </c>
      <c r="F25" s="15" t="s">
        <v>375</v>
      </c>
    </row>
    <row r="26" spans="1:6">
      <c r="A26" s="15" t="s">
        <v>284</v>
      </c>
      <c r="B26" s="15" t="s">
        <v>305</v>
      </c>
      <c r="C26" s="15" t="s">
        <v>339</v>
      </c>
      <c r="D26" s="15" t="s">
        <v>339</v>
      </c>
      <c r="E26" s="15" t="s">
        <v>376</v>
      </c>
      <c r="F26" s="15" t="s">
        <v>376</v>
      </c>
    </row>
    <row r="27" spans="1:6">
      <c r="A27" s="15" t="s">
        <v>284</v>
      </c>
      <c r="B27" s="15" t="s">
        <v>306</v>
      </c>
      <c r="C27" s="15" t="s">
        <v>340</v>
      </c>
      <c r="D27" s="15" t="s">
        <v>340</v>
      </c>
      <c r="E27" s="15" t="s">
        <v>377</v>
      </c>
      <c r="F27" s="15" t="s">
        <v>377</v>
      </c>
    </row>
    <row r="28" spans="1:6">
      <c r="A28" s="15" t="s">
        <v>284</v>
      </c>
      <c r="B28" s="15" t="s">
        <v>307</v>
      </c>
      <c r="C28" s="15" t="s">
        <v>341</v>
      </c>
      <c r="D28" s="15" t="s">
        <v>341</v>
      </c>
      <c r="E28" s="15" t="s">
        <v>378</v>
      </c>
      <c r="F28" s="15" t="s">
        <v>378</v>
      </c>
    </row>
    <row r="29" spans="1:6">
      <c r="A29" s="15" t="s">
        <v>284</v>
      </c>
      <c r="B29" s="15" t="s">
        <v>308</v>
      </c>
      <c r="C29" s="15" t="s">
        <v>342</v>
      </c>
      <c r="D29" s="15" t="s">
        <v>342</v>
      </c>
      <c r="E29" s="15" t="s">
        <v>379</v>
      </c>
      <c r="F29" s="15" t="s">
        <v>379</v>
      </c>
    </row>
    <row r="30" spans="1:6">
      <c r="A30" s="15" t="s">
        <v>284</v>
      </c>
      <c r="B30" s="15" t="s">
        <v>96</v>
      </c>
      <c r="C30" s="15" t="s">
        <v>343</v>
      </c>
      <c r="D30" s="15" t="s">
        <v>343</v>
      </c>
      <c r="E30" s="15" t="s">
        <v>380</v>
      </c>
      <c r="F30" s="15" t="s">
        <v>380</v>
      </c>
    </row>
    <row r="31" spans="1:6">
      <c r="A31" s="15" t="s">
        <v>284</v>
      </c>
      <c r="B31" s="15" t="s">
        <v>309</v>
      </c>
      <c r="C31" s="15" t="s">
        <v>344</v>
      </c>
      <c r="D31" s="15" t="s">
        <v>344</v>
      </c>
      <c r="E31" s="15" t="s">
        <v>381</v>
      </c>
      <c r="F31" s="15" t="s">
        <v>381</v>
      </c>
    </row>
    <row r="32" spans="1:6">
      <c r="A32" s="15" t="s">
        <v>284</v>
      </c>
      <c r="B32" s="15" t="s">
        <v>310</v>
      </c>
      <c r="C32" s="15" t="s">
        <v>345</v>
      </c>
      <c r="D32" s="15" t="s">
        <v>345</v>
      </c>
      <c r="E32" s="15" t="s">
        <v>382</v>
      </c>
      <c r="F32" s="15" t="s">
        <v>382</v>
      </c>
    </row>
    <row r="33" spans="1:6">
      <c r="A33" s="15" t="s">
        <v>284</v>
      </c>
      <c r="B33" s="15" t="s">
        <v>311</v>
      </c>
      <c r="C33" s="15" t="s">
        <v>346</v>
      </c>
      <c r="D33" s="15" t="s">
        <v>346</v>
      </c>
      <c r="E33" s="15" t="s">
        <v>383</v>
      </c>
      <c r="F33" s="15" t="s">
        <v>383</v>
      </c>
    </row>
    <row r="34" spans="1:6">
      <c r="A34" s="15" t="s">
        <v>284</v>
      </c>
      <c r="B34" s="15" t="s">
        <v>312</v>
      </c>
      <c r="C34" s="15" t="s">
        <v>346</v>
      </c>
      <c r="D34" s="15" t="s">
        <v>346</v>
      </c>
      <c r="E34" s="15" t="s">
        <v>384</v>
      </c>
      <c r="F34" s="15" t="s">
        <v>384</v>
      </c>
    </row>
    <row r="35" spans="1:6">
      <c r="A35" s="15" t="s">
        <v>284</v>
      </c>
      <c r="B35" s="15" t="s">
        <v>313</v>
      </c>
      <c r="C35" s="15" t="s">
        <v>347</v>
      </c>
      <c r="D35" s="15" t="s">
        <v>347</v>
      </c>
      <c r="E35" s="15" t="s">
        <v>385</v>
      </c>
      <c r="F35" s="15" t="s">
        <v>385</v>
      </c>
    </row>
    <row r="36" spans="1:6">
      <c r="A36" s="15" t="s">
        <v>284</v>
      </c>
      <c r="B36" s="15" t="s">
        <v>314</v>
      </c>
      <c r="C36" s="15" t="s">
        <v>348</v>
      </c>
      <c r="D36" s="15" t="s">
        <v>348</v>
      </c>
      <c r="E36" s="15" t="s">
        <v>386</v>
      </c>
      <c r="F36" s="15" t="s">
        <v>386</v>
      </c>
    </row>
    <row r="37" spans="1:6">
      <c r="A37" s="15" t="s">
        <v>284</v>
      </c>
      <c r="B37" s="15" t="s">
        <v>315</v>
      </c>
      <c r="C37" s="15" t="s">
        <v>349</v>
      </c>
      <c r="D37" s="15" t="s">
        <v>349</v>
      </c>
      <c r="E37" s="15" t="s">
        <v>387</v>
      </c>
      <c r="F37" s="15" t="s">
        <v>387</v>
      </c>
    </row>
    <row r="38" spans="1:6">
      <c r="A38" s="15" t="s">
        <v>285</v>
      </c>
      <c r="B38" s="15" t="s">
        <v>306</v>
      </c>
      <c r="C38" s="15" t="s">
        <v>350</v>
      </c>
      <c r="D38" s="15" t="s">
        <v>350</v>
      </c>
      <c r="E38" s="15" t="s">
        <v>377</v>
      </c>
      <c r="F38" s="15" t="s">
        <v>377</v>
      </c>
    </row>
    <row r="39" spans="1:6">
      <c r="A39" s="15" t="s">
        <v>285</v>
      </c>
      <c r="B39" s="15" t="s">
        <v>307</v>
      </c>
      <c r="C39" s="15" t="s">
        <v>351</v>
      </c>
      <c r="D39" s="15" t="s">
        <v>351</v>
      </c>
      <c r="E39" s="15" t="s">
        <v>378</v>
      </c>
      <c r="F39" s="15" t="s">
        <v>378</v>
      </c>
    </row>
    <row r="40" spans="1:6">
      <c r="A40" s="15" t="s">
        <v>285</v>
      </c>
      <c r="B40" s="15" t="s">
        <v>308</v>
      </c>
      <c r="C40" s="15" t="s">
        <v>352</v>
      </c>
      <c r="D40" s="15" t="s">
        <v>352</v>
      </c>
      <c r="E40" s="15" t="s">
        <v>379</v>
      </c>
      <c r="F40" s="15" t="s">
        <v>379</v>
      </c>
    </row>
  </sheetData>
  <autoFilter ref="A2:F40"/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2" width="20.7109375" style="15" customWidth="1"/>
  </cols>
  <sheetData>
    <row r="1" spans="1:2">
      <c r="A1" s="16" t="s">
        <v>405</v>
      </c>
      <c r="B1" s="16"/>
    </row>
    <row r="2" spans="1:2">
      <c r="A2" s="2" t="s">
        <v>389</v>
      </c>
      <c r="B2" s="2" t="s">
        <v>390</v>
      </c>
    </row>
    <row r="3" spans="1:2">
      <c r="A3" s="15" t="s">
        <v>391</v>
      </c>
      <c r="B3" s="15" t="s">
        <v>391</v>
      </c>
    </row>
    <row r="4" spans="1:2">
      <c r="A4" s="15" t="s">
        <v>392</v>
      </c>
      <c r="B4" s="15" t="s">
        <v>392</v>
      </c>
    </row>
    <row r="5" spans="1:2">
      <c r="A5" s="15" t="s">
        <v>393</v>
      </c>
      <c r="B5" s="15" t="s">
        <v>393</v>
      </c>
    </row>
    <row r="6" spans="1:2">
      <c r="A6" s="15" t="s">
        <v>394</v>
      </c>
      <c r="B6" s="15" t="s">
        <v>394</v>
      </c>
    </row>
    <row r="7" spans="1:2">
      <c r="A7" s="15" t="s">
        <v>395</v>
      </c>
      <c r="B7" s="15" t="s">
        <v>395</v>
      </c>
    </row>
    <row r="8" spans="1:2">
      <c r="A8" s="15" t="s">
        <v>396</v>
      </c>
      <c r="B8" s="15" t="s">
        <v>396</v>
      </c>
    </row>
    <row r="9" spans="1:2">
      <c r="A9" s="15" t="s">
        <v>397</v>
      </c>
      <c r="B9" s="15" t="s">
        <v>397</v>
      </c>
    </row>
    <row r="10" spans="1:2">
      <c r="A10" s="15" t="s">
        <v>398</v>
      </c>
      <c r="B10" s="15" t="s">
        <v>398</v>
      </c>
    </row>
    <row r="11" spans="1:2">
      <c r="A11" s="15" t="s">
        <v>399</v>
      </c>
      <c r="B11" s="15" t="s">
        <v>399</v>
      </c>
    </row>
    <row r="12" spans="1:2">
      <c r="A12" s="15" t="s">
        <v>400</v>
      </c>
      <c r="B12" s="15" t="s">
        <v>400</v>
      </c>
    </row>
    <row r="13" spans="1:2">
      <c r="A13" s="15" t="s">
        <v>401</v>
      </c>
      <c r="B13" s="15" t="s">
        <v>401</v>
      </c>
    </row>
    <row r="14" spans="1:2">
      <c r="A14" s="15" t="s">
        <v>402</v>
      </c>
      <c r="B14" s="15" t="s">
        <v>404</v>
      </c>
    </row>
    <row r="15" spans="1:2">
      <c r="A15" s="15" t="s">
        <v>403</v>
      </c>
      <c r="B15" s="15" t="s">
        <v>403</v>
      </c>
    </row>
  </sheetData>
  <autoFilter ref="A2:B15"/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A137"/>
  <sheetViews>
    <sheetView workbookViewId="0"/>
  </sheetViews>
  <sheetFormatPr defaultRowHeight="15"/>
  <cols>
    <col min="1" max="25" width="14.7109375" customWidth="1"/>
    <col min="29" max="53" width="14.7109375" customWidth="1"/>
  </cols>
  <sheetData>
    <row r="1" spans="1:53">
      <c r="A1" s="17" t="s">
        <v>406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C1" s="17" t="s">
        <v>407</v>
      </c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</row>
    <row r="2" spans="1:53">
      <c r="A2" s="3" t="s">
        <v>408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AC2" s="3" t="s">
        <v>408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>
      <c r="A3" s="3" t="s">
        <v>409</v>
      </c>
      <c r="B3" s="3" t="s">
        <v>410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AC3" s="3" t="s">
        <v>409</v>
      </c>
      <c r="AD3" s="3" t="s">
        <v>410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>
      <c r="A4" s="3" t="s">
        <v>175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AC4" s="3" t="s">
        <v>175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>
      <c r="A5" s="3" t="s">
        <v>411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AC5" s="3" t="s">
        <v>411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spans="1:53">
      <c r="A6" s="3" t="s">
        <v>92</v>
      </c>
      <c r="B6" s="3" t="s">
        <v>412</v>
      </c>
      <c r="C6" s="3" t="s">
        <v>413</v>
      </c>
      <c r="D6" s="3" t="s">
        <v>414</v>
      </c>
      <c r="E6" s="3" t="s">
        <v>415</v>
      </c>
      <c r="F6" s="3" t="s">
        <v>416</v>
      </c>
      <c r="G6" s="3" t="s">
        <v>417</v>
      </c>
      <c r="H6" s="3" t="s">
        <v>418</v>
      </c>
      <c r="I6" s="3" t="s">
        <v>419</v>
      </c>
      <c r="J6" s="3" t="s">
        <v>420</v>
      </c>
      <c r="K6" s="3" t="s">
        <v>421</v>
      </c>
      <c r="L6" s="3" t="s">
        <v>422</v>
      </c>
      <c r="M6" s="3" t="s">
        <v>423</v>
      </c>
      <c r="N6" s="3" t="s">
        <v>424</v>
      </c>
      <c r="O6" s="3" t="s">
        <v>425</v>
      </c>
      <c r="P6" s="3" t="s">
        <v>426</v>
      </c>
      <c r="Q6" s="3" t="s">
        <v>427</v>
      </c>
      <c r="R6" s="3" t="s">
        <v>428</v>
      </c>
      <c r="S6" s="3" t="s">
        <v>429</v>
      </c>
      <c r="T6" s="3" t="s">
        <v>430</v>
      </c>
      <c r="U6" s="3" t="s">
        <v>431</v>
      </c>
      <c r="V6" s="3" t="s">
        <v>432</v>
      </c>
      <c r="W6" s="3" t="s">
        <v>433</v>
      </c>
      <c r="X6" s="3" t="s">
        <v>434</v>
      </c>
      <c r="Y6" s="3" t="s">
        <v>435</v>
      </c>
      <c r="AC6" s="3" t="s">
        <v>92</v>
      </c>
      <c r="AD6" s="3" t="s">
        <v>412</v>
      </c>
      <c r="AE6" s="3" t="s">
        <v>413</v>
      </c>
      <c r="AF6" s="3" t="s">
        <v>414</v>
      </c>
      <c r="AG6" s="3" t="s">
        <v>415</v>
      </c>
      <c r="AH6" s="3" t="s">
        <v>416</v>
      </c>
      <c r="AI6" s="3" t="s">
        <v>417</v>
      </c>
      <c r="AJ6" s="3" t="s">
        <v>418</v>
      </c>
      <c r="AK6" s="3" t="s">
        <v>419</v>
      </c>
      <c r="AL6" s="3" t="s">
        <v>420</v>
      </c>
      <c r="AM6" s="3" t="s">
        <v>421</v>
      </c>
      <c r="AN6" s="3" t="s">
        <v>422</v>
      </c>
      <c r="AO6" s="3" t="s">
        <v>423</v>
      </c>
      <c r="AP6" s="3" t="s">
        <v>424</v>
      </c>
      <c r="AQ6" s="3" t="s">
        <v>425</v>
      </c>
      <c r="AR6" s="3" t="s">
        <v>426</v>
      </c>
      <c r="AS6" s="3" t="s">
        <v>427</v>
      </c>
      <c r="AT6" s="3" t="s">
        <v>428</v>
      </c>
      <c r="AU6" s="3" t="s">
        <v>429</v>
      </c>
      <c r="AV6" s="3" t="s">
        <v>430</v>
      </c>
      <c r="AW6" s="3" t="s">
        <v>431</v>
      </c>
      <c r="AX6" s="3" t="s">
        <v>432</v>
      </c>
      <c r="AY6" s="3" t="s">
        <v>433</v>
      </c>
      <c r="AZ6" s="3" t="s">
        <v>434</v>
      </c>
      <c r="BA6" s="3" t="s">
        <v>435</v>
      </c>
    </row>
    <row r="7" spans="1:53">
      <c r="A7" s="3" t="s">
        <v>99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AC7" s="3" t="s">
        <v>99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</row>
    <row r="8" spans="1:53">
      <c r="A8" s="3" t="s">
        <v>100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AC8" s="3" t="s">
        <v>100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</row>
    <row r="9" spans="1:53">
      <c r="A9" s="3" t="s">
        <v>101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AC9" s="3" t="s">
        <v>101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</row>
    <row r="10" spans="1:53">
      <c r="A10" s="3" t="s">
        <v>102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AC10" s="3" t="s">
        <v>102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</row>
    <row r="11" spans="1:53">
      <c r="A11" s="3" t="s">
        <v>103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AC11" s="3" t="s">
        <v>103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</row>
    <row r="12" spans="1:53">
      <c r="A12" s="3" t="s">
        <v>104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AC12" s="3" t="s">
        <v>104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</row>
    <row r="13" spans="1:53">
      <c r="A13" s="3" t="s">
        <v>105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AC13" s="3" t="s">
        <v>105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</row>
    <row r="14" spans="1:53">
      <c r="A14" s="3" t="s">
        <v>106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AC14" s="3" t="s">
        <v>106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</row>
    <row r="15" spans="1:53">
      <c r="A15" s="3" t="s">
        <v>107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AC15" s="3" t="s">
        <v>107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</row>
    <row r="16" spans="1:53">
      <c r="A16" s="3" t="s">
        <v>108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AC16" s="3" t="s">
        <v>108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</row>
    <row r="17" spans="1:53">
      <c r="A17" s="3" t="s">
        <v>109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AC17" s="3" t="s">
        <v>109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</row>
    <row r="18" spans="1:53">
      <c r="A18" s="3" t="s">
        <v>110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AC18" s="3" t="s">
        <v>110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</row>
    <row r="19" spans="1:53">
      <c r="A19" s="3" t="s">
        <v>111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AC19" s="3" t="s">
        <v>111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</row>
    <row r="20" spans="1:53">
      <c r="A20" s="3" t="s">
        <v>112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AC20" s="3" t="s">
        <v>112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</row>
    <row r="21" spans="1:53">
      <c r="A21" s="3" t="s">
        <v>113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AC21" s="3" t="s">
        <v>113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</row>
    <row r="22" spans="1:53">
      <c r="A22" s="3" t="s">
        <v>114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AC22" s="3" t="s">
        <v>114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</row>
    <row r="23" spans="1:53">
      <c r="A23" s="3" t="s">
        <v>115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AC23" s="3" t="s">
        <v>115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</row>
    <row r="24" spans="1:53">
      <c r="A24" s="3" t="s">
        <v>116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AC24" s="3" t="s">
        <v>116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</row>
    <row r="25" spans="1:53">
      <c r="A25" s="3" t="s">
        <v>117</v>
      </c>
      <c r="B25" s="5">
        <v>1705.6</v>
      </c>
      <c r="C25" s="5">
        <v>1722</v>
      </c>
      <c r="D25" s="5">
        <v>1738.4</v>
      </c>
      <c r="E25" s="5">
        <v>1754.8</v>
      </c>
      <c r="F25" s="5">
        <v>1771.2</v>
      </c>
      <c r="G25" s="5">
        <v>1787.6</v>
      </c>
      <c r="H25" s="5">
        <v>1804</v>
      </c>
      <c r="I25" s="5">
        <v>1820.4</v>
      </c>
      <c r="J25" s="5">
        <v>1836.8</v>
      </c>
      <c r="K25" s="5">
        <v>1853.2</v>
      </c>
      <c r="L25" s="5">
        <v>1869.6</v>
      </c>
      <c r="M25" s="5">
        <v>1886</v>
      </c>
      <c r="N25" s="5">
        <v>1902.4</v>
      </c>
      <c r="O25" s="5">
        <v>1918.8</v>
      </c>
      <c r="P25" s="5">
        <v>1935.2</v>
      </c>
      <c r="Q25" s="5">
        <v>1951.6</v>
      </c>
      <c r="R25" s="5">
        <v>1968</v>
      </c>
      <c r="S25" s="5">
        <v>1984.4</v>
      </c>
      <c r="T25" s="5">
        <v>2000.8</v>
      </c>
      <c r="U25" s="5">
        <v>2017.2</v>
      </c>
      <c r="V25" s="5">
        <v>2033.6</v>
      </c>
      <c r="W25" s="5">
        <v>2050</v>
      </c>
      <c r="X25" s="5">
        <v>2066.4</v>
      </c>
      <c r="Y25" s="5">
        <v>2082.8</v>
      </c>
      <c r="AC25" s="3" t="s">
        <v>117</v>
      </c>
      <c r="AD25" s="5">
        <v>1910.272</v>
      </c>
      <c r="AE25" s="5">
        <v>1928.64</v>
      </c>
      <c r="AF25" s="5">
        <v>1947.008</v>
      </c>
      <c r="AG25" s="5">
        <v>1965.376</v>
      </c>
      <c r="AH25" s="5">
        <v>1983.744</v>
      </c>
      <c r="AI25" s="5">
        <v>2002.112</v>
      </c>
      <c r="AJ25" s="5">
        <v>2020.48</v>
      </c>
      <c r="AK25" s="5">
        <v>2038.848</v>
      </c>
      <c r="AL25" s="5">
        <v>2057.216</v>
      </c>
      <c r="AM25" s="5">
        <v>2075.584</v>
      </c>
      <c r="AN25" s="5">
        <v>2093.952</v>
      </c>
      <c r="AO25" s="5">
        <v>2112.32</v>
      </c>
      <c r="AP25" s="5">
        <v>2130.688</v>
      </c>
      <c r="AQ25" s="5">
        <v>2149.056</v>
      </c>
      <c r="AR25" s="5">
        <v>2167.424</v>
      </c>
      <c r="AS25" s="5">
        <v>2185.792</v>
      </c>
      <c r="AT25" s="5">
        <v>2204.16</v>
      </c>
      <c r="AU25" s="5">
        <v>2222.528</v>
      </c>
      <c r="AV25" s="5">
        <v>2240.896</v>
      </c>
      <c r="AW25" s="5">
        <v>2259.264</v>
      </c>
      <c r="AX25" s="5">
        <v>2277.632</v>
      </c>
      <c r="AY25" s="5">
        <v>2296</v>
      </c>
      <c r="AZ25" s="5">
        <v>2314.368</v>
      </c>
      <c r="BA25" s="5">
        <v>2332.736</v>
      </c>
    </row>
    <row r="26" spans="1:53">
      <c r="A26" s="3" t="s">
        <v>118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AC26" s="3" t="s">
        <v>118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</row>
    <row r="27" spans="1:53">
      <c r="A27" s="3" t="s">
        <v>436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AC27" s="3" t="s">
        <v>436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>
      <c r="A28" s="3" t="s">
        <v>92</v>
      </c>
      <c r="B28" s="3" t="s">
        <v>412</v>
      </c>
      <c r="C28" s="3" t="s">
        <v>413</v>
      </c>
      <c r="D28" s="3" t="s">
        <v>414</v>
      </c>
      <c r="E28" s="3" t="s">
        <v>415</v>
      </c>
      <c r="F28" s="3" t="s">
        <v>416</v>
      </c>
      <c r="G28" s="3" t="s">
        <v>417</v>
      </c>
      <c r="H28" s="3" t="s">
        <v>418</v>
      </c>
      <c r="I28" s="3" t="s">
        <v>419</v>
      </c>
      <c r="J28" s="3" t="s">
        <v>420</v>
      </c>
      <c r="K28" s="3" t="s">
        <v>421</v>
      </c>
      <c r="L28" s="3" t="s">
        <v>422</v>
      </c>
      <c r="M28" s="3" t="s">
        <v>423</v>
      </c>
      <c r="N28" s="3" t="s">
        <v>424</v>
      </c>
      <c r="O28" s="3" t="s">
        <v>425</v>
      </c>
      <c r="P28" s="3" t="s">
        <v>426</v>
      </c>
      <c r="Q28" s="3" t="s">
        <v>427</v>
      </c>
      <c r="R28" s="3" t="s">
        <v>428</v>
      </c>
      <c r="S28" s="3" t="s">
        <v>429</v>
      </c>
      <c r="T28" s="3" t="s">
        <v>430</v>
      </c>
      <c r="U28" s="3" t="s">
        <v>431</v>
      </c>
      <c r="V28" s="3" t="s">
        <v>432</v>
      </c>
      <c r="W28" s="3" t="s">
        <v>433</v>
      </c>
      <c r="X28" s="3" t="s">
        <v>434</v>
      </c>
      <c r="Y28" s="3" t="s">
        <v>435</v>
      </c>
      <c r="AC28" s="3" t="s">
        <v>92</v>
      </c>
      <c r="AD28" s="3" t="s">
        <v>412</v>
      </c>
      <c r="AE28" s="3" t="s">
        <v>413</v>
      </c>
      <c r="AF28" s="3" t="s">
        <v>414</v>
      </c>
      <c r="AG28" s="3" t="s">
        <v>415</v>
      </c>
      <c r="AH28" s="3" t="s">
        <v>416</v>
      </c>
      <c r="AI28" s="3" t="s">
        <v>417</v>
      </c>
      <c r="AJ28" s="3" t="s">
        <v>418</v>
      </c>
      <c r="AK28" s="3" t="s">
        <v>419</v>
      </c>
      <c r="AL28" s="3" t="s">
        <v>420</v>
      </c>
      <c r="AM28" s="3" t="s">
        <v>421</v>
      </c>
      <c r="AN28" s="3" t="s">
        <v>422</v>
      </c>
      <c r="AO28" s="3" t="s">
        <v>423</v>
      </c>
      <c r="AP28" s="3" t="s">
        <v>424</v>
      </c>
      <c r="AQ28" s="3" t="s">
        <v>425</v>
      </c>
      <c r="AR28" s="3" t="s">
        <v>426</v>
      </c>
      <c r="AS28" s="3" t="s">
        <v>427</v>
      </c>
      <c r="AT28" s="3" t="s">
        <v>428</v>
      </c>
      <c r="AU28" s="3" t="s">
        <v>429</v>
      </c>
      <c r="AV28" s="3" t="s">
        <v>430</v>
      </c>
      <c r="AW28" s="3" t="s">
        <v>431</v>
      </c>
      <c r="AX28" s="3" t="s">
        <v>432</v>
      </c>
      <c r="AY28" s="3" t="s">
        <v>433</v>
      </c>
      <c r="AZ28" s="3" t="s">
        <v>434</v>
      </c>
      <c r="BA28" s="3" t="s">
        <v>435</v>
      </c>
    </row>
    <row r="29" spans="1:53">
      <c r="A29" s="3" t="s">
        <v>99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AC29" s="3" t="s">
        <v>99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>
      <c r="A30" s="3" t="s">
        <v>100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AC30" s="3" t="s">
        <v>100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>
      <c r="A31" s="3" t="s">
        <v>101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AC31" s="3" t="s">
        <v>101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>
      <c r="A32" s="3" t="s">
        <v>102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AC32" s="3" t="s">
        <v>102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>
      <c r="A33" s="3" t="s">
        <v>103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AC33" s="3" t="s">
        <v>103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>
      <c r="A34" s="3" t="s">
        <v>104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AC34" s="3" t="s">
        <v>104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>
      <c r="A35" s="3" t="s">
        <v>105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AC35" s="3" t="s">
        <v>105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</row>
    <row r="36" spans="1:53">
      <c r="A36" s="3" t="s">
        <v>106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AC36" s="3" t="s">
        <v>106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  <row r="37" spans="1:53">
      <c r="A37" s="3" t="s">
        <v>107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AC37" s="3" t="s">
        <v>107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</row>
    <row r="38" spans="1:53">
      <c r="A38" s="3" t="s">
        <v>108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AC38" s="3" t="s">
        <v>108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</row>
    <row r="39" spans="1:53">
      <c r="A39" s="3" t="s">
        <v>109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AC39" s="3" t="s">
        <v>109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</row>
    <row r="40" spans="1:53">
      <c r="A40" s="3" t="s">
        <v>110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AC40" s="3" t="s">
        <v>110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</row>
    <row r="41" spans="1:53">
      <c r="A41" s="3" t="s">
        <v>111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AC41" s="3" t="s">
        <v>111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</row>
    <row r="42" spans="1:53">
      <c r="A42" s="3" t="s">
        <v>112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AC42" s="3" t="s">
        <v>112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</row>
    <row r="43" spans="1:53">
      <c r="A43" s="3" t="s">
        <v>113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AC43" s="3" t="s">
        <v>113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</row>
    <row r="44" spans="1:53">
      <c r="A44" s="3" t="s">
        <v>114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AC44" s="3" t="s">
        <v>114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</row>
    <row r="45" spans="1:53">
      <c r="A45" s="3" t="s">
        <v>115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AC45" s="3" t="s">
        <v>115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spans="1:53">
      <c r="A46" s="3" t="s">
        <v>116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AC46" s="3" t="s">
        <v>116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3">
      <c r="A47" s="3" t="s">
        <v>117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AC47" s="3" t="s">
        <v>117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</row>
    <row r="48" spans="1:53">
      <c r="A48" s="3" t="s">
        <v>118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AC48" s="3" t="s">
        <v>118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spans="1:53">
      <c r="A49" s="3" t="s">
        <v>437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AC49" s="3" t="s">
        <v>437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spans="1:53">
      <c r="A50" s="3" t="s">
        <v>92</v>
      </c>
      <c r="B50" s="3" t="s">
        <v>412</v>
      </c>
      <c r="C50" s="3" t="s">
        <v>413</v>
      </c>
      <c r="D50" s="3" t="s">
        <v>414</v>
      </c>
      <c r="E50" s="3" t="s">
        <v>415</v>
      </c>
      <c r="F50" s="3" t="s">
        <v>416</v>
      </c>
      <c r="G50" s="3" t="s">
        <v>417</v>
      </c>
      <c r="H50" s="3" t="s">
        <v>418</v>
      </c>
      <c r="I50" s="3" t="s">
        <v>419</v>
      </c>
      <c r="J50" s="3" t="s">
        <v>420</v>
      </c>
      <c r="K50" s="3" t="s">
        <v>421</v>
      </c>
      <c r="L50" s="3" t="s">
        <v>422</v>
      </c>
      <c r="M50" s="3" t="s">
        <v>423</v>
      </c>
      <c r="N50" s="3" t="s">
        <v>424</v>
      </c>
      <c r="O50" s="3" t="s">
        <v>425</v>
      </c>
      <c r="P50" s="3" t="s">
        <v>426</v>
      </c>
      <c r="Q50" s="3" t="s">
        <v>427</v>
      </c>
      <c r="R50" s="3" t="s">
        <v>428</v>
      </c>
      <c r="S50" s="3" t="s">
        <v>429</v>
      </c>
      <c r="T50" s="3" t="s">
        <v>430</v>
      </c>
      <c r="U50" s="3" t="s">
        <v>431</v>
      </c>
      <c r="V50" s="3" t="s">
        <v>432</v>
      </c>
      <c r="W50" s="3" t="s">
        <v>433</v>
      </c>
      <c r="X50" s="3" t="s">
        <v>434</v>
      </c>
      <c r="Y50" s="3" t="s">
        <v>435</v>
      </c>
      <c r="AC50" s="3" t="s">
        <v>92</v>
      </c>
      <c r="AD50" s="3" t="s">
        <v>412</v>
      </c>
      <c r="AE50" s="3" t="s">
        <v>413</v>
      </c>
      <c r="AF50" s="3" t="s">
        <v>414</v>
      </c>
      <c r="AG50" s="3" t="s">
        <v>415</v>
      </c>
      <c r="AH50" s="3" t="s">
        <v>416</v>
      </c>
      <c r="AI50" s="3" t="s">
        <v>417</v>
      </c>
      <c r="AJ50" s="3" t="s">
        <v>418</v>
      </c>
      <c r="AK50" s="3" t="s">
        <v>419</v>
      </c>
      <c r="AL50" s="3" t="s">
        <v>420</v>
      </c>
      <c r="AM50" s="3" t="s">
        <v>421</v>
      </c>
      <c r="AN50" s="3" t="s">
        <v>422</v>
      </c>
      <c r="AO50" s="3" t="s">
        <v>423</v>
      </c>
      <c r="AP50" s="3" t="s">
        <v>424</v>
      </c>
      <c r="AQ50" s="3" t="s">
        <v>425</v>
      </c>
      <c r="AR50" s="3" t="s">
        <v>426</v>
      </c>
      <c r="AS50" s="3" t="s">
        <v>427</v>
      </c>
      <c r="AT50" s="3" t="s">
        <v>428</v>
      </c>
      <c r="AU50" s="3" t="s">
        <v>429</v>
      </c>
      <c r="AV50" s="3" t="s">
        <v>430</v>
      </c>
      <c r="AW50" s="3" t="s">
        <v>431</v>
      </c>
      <c r="AX50" s="3" t="s">
        <v>432</v>
      </c>
      <c r="AY50" s="3" t="s">
        <v>433</v>
      </c>
      <c r="AZ50" s="3" t="s">
        <v>434</v>
      </c>
      <c r="BA50" s="3" t="s">
        <v>435</v>
      </c>
    </row>
    <row r="51" spans="1:53">
      <c r="A51" s="3" t="s">
        <v>99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AC51" s="3" t="s">
        <v>99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</row>
    <row r="52" spans="1:53">
      <c r="A52" s="3" t="s">
        <v>100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AC52" s="3" t="s">
        <v>100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</row>
    <row r="53" spans="1:53">
      <c r="A53" s="3" t="s">
        <v>101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AC53" s="3" t="s">
        <v>101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</row>
    <row r="54" spans="1:53">
      <c r="A54" s="3" t="s">
        <v>102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AC54" s="3" t="s">
        <v>102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</row>
    <row r="55" spans="1:53">
      <c r="A55" s="3" t="s">
        <v>103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AC55" s="3" t="s">
        <v>103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</row>
    <row r="56" spans="1:53">
      <c r="A56" s="3" t="s">
        <v>104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AC56" s="3" t="s">
        <v>104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</row>
    <row r="57" spans="1:53">
      <c r="A57" s="3" t="s">
        <v>105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AC57" s="3" t="s">
        <v>105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</row>
    <row r="58" spans="1:53">
      <c r="A58" s="3" t="s">
        <v>106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AC58" s="3" t="s">
        <v>106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</row>
    <row r="59" spans="1:53">
      <c r="A59" s="3" t="s">
        <v>107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AC59" s="3" t="s">
        <v>107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</row>
    <row r="60" spans="1:53">
      <c r="A60" s="3" t="s">
        <v>108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AC60" s="3" t="s">
        <v>108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</row>
    <row r="61" spans="1:53">
      <c r="A61" s="3" t="s">
        <v>109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AC61" s="3" t="s">
        <v>109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</row>
    <row r="62" spans="1:53">
      <c r="A62" s="3" t="s">
        <v>110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AC62" s="3" t="s">
        <v>110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</row>
    <row r="63" spans="1:53">
      <c r="A63" s="3" t="s">
        <v>111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AC63" s="3" t="s">
        <v>111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</row>
    <row r="64" spans="1:53">
      <c r="A64" s="3" t="s">
        <v>112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AC64" s="3" t="s">
        <v>112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</row>
    <row r="65" spans="1:53">
      <c r="A65" s="3" t="s">
        <v>113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AC65" s="3" t="s">
        <v>113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</row>
    <row r="66" spans="1:53">
      <c r="A66" s="3" t="s">
        <v>114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AC66" s="3" t="s">
        <v>114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</row>
    <row r="67" spans="1:53">
      <c r="A67" s="3" t="s">
        <v>115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AC67" s="3" t="s">
        <v>115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</row>
    <row r="68" spans="1:53">
      <c r="A68" s="3" t="s">
        <v>116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AC68" s="3" t="s">
        <v>116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</row>
    <row r="69" spans="1:53">
      <c r="A69" s="3" t="s">
        <v>117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AC69" s="3" t="s">
        <v>117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</row>
    <row r="70" spans="1:53">
      <c r="A70" s="3" t="s">
        <v>118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AC70" s="3" t="s">
        <v>118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</row>
    <row r="71" spans="1:53">
      <c r="A71" s="3" t="s">
        <v>176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AC71" s="3" t="s">
        <v>176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</row>
    <row r="72" spans="1:53">
      <c r="A72" s="3" t="s">
        <v>411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AC72" s="3" t="s">
        <v>411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</row>
    <row r="73" spans="1:53">
      <c r="A73" s="3" t="s">
        <v>92</v>
      </c>
      <c r="B73" s="3" t="s">
        <v>412</v>
      </c>
      <c r="C73" s="3" t="s">
        <v>413</v>
      </c>
      <c r="D73" s="3" t="s">
        <v>414</v>
      </c>
      <c r="E73" s="3" t="s">
        <v>415</v>
      </c>
      <c r="F73" s="3" t="s">
        <v>416</v>
      </c>
      <c r="G73" s="3" t="s">
        <v>417</v>
      </c>
      <c r="H73" s="3" t="s">
        <v>418</v>
      </c>
      <c r="I73" s="3" t="s">
        <v>419</v>
      </c>
      <c r="J73" s="3" t="s">
        <v>420</v>
      </c>
      <c r="K73" s="3" t="s">
        <v>421</v>
      </c>
      <c r="L73" s="3" t="s">
        <v>422</v>
      </c>
      <c r="M73" s="3" t="s">
        <v>423</v>
      </c>
      <c r="N73" s="3" t="s">
        <v>424</v>
      </c>
      <c r="O73" s="3" t="s">
        <v>425</v>
      </c>
      <c r="P73" s="3" t="s">
        <v>426</v>
      </c>
      <c r="Q73" s="3" t="s">
        <v>427</v>
      </c>
      <c r="R73" s="3" t="s">
        <v>428</v>
      </c>
      <c r="S73" s="3" t="s">
        <v>429</v>
      </c>
      <c r="T73" s="3" t="s">
        <v>430</v>
      </c>
      <c r="U73" s="3" t="s">
        <v>431</v>
      </c>
      <c r="V73" s="3" t="s">
        <v>432</v>
      </c>
      <c r="W73" s="3" t="s">
        <v>433</v>
      </c>
      <c r="X73" s="3" t="s">
        <v>434</v>
      </c>
      <c r="Y73" s="3" t="s">
        <v>435</v>
      </c>
      <c r="AC73" s="3" t="s">
        <v>92</v>
      </c>
      <c r="AD73" s="3" t="s">
        <v>412</v>
      </c>
      <c r="AE73" s="3" t="s">
        <v>413</v>
      </c>
      <c r="AF73" s="3" t="s">
        <v>414</v>
      </c>
      <c r="AG73" s="3" t="s">
        <v>415</v>
      </c>
      <c r="AH73" s="3" t="s">
        <v>416</v>
      </c>
      <c r="AI73" s="3" t="s">
        <v>417</v>
      </c>
      <c r="AJ73" s="3" t="s">
        <v>418</v>
      </c>
      <c r="AK73" s="3" t="s">
        <v>419</v>
      </c>
      <c r="AL73" s="3" t="s">
        <v>420</v>
      </c>
      <c r="AM73" s="3" t="s">
        <v>421</v>
      </c>
      <c r="AN73" s="3" t="s">
        <v>422</v>
      </c>
      <c r="AO73" s="3" t="s">
        <v>423</v>
      </c>
      <c r="AP73" s="3" t="s">
        <v>424</v>
      </c>
      <c r="AQ73" s="3" t="s">
        <v>425</v>
      </c>
      <c r="AR73" s="3" t="s">
        <v>426</v>
      </c>
      <c r="AS73" s="3" t="s">
        <v>427</v>
      </c>
      <c r="AT73" s="3" t="s">
        <v>428</v>
      </c>
      <c r="AU73" s="3" t="s">
        <v>429</v>
      </c>
      <c r="AV73" s="3" t="s">
        <v>430</v>
      </c>
      <c r="AW73" s="3" t="s">
        <v>431</v>
      </c>
      <c r="AX73" s="3" t="s">
        <v>432</v>
      </c>
      <c r="AY73" s="3" t="s">
        <v>433</v>
      </c>
      <c r="AZ73" s="3" t="s">
        <v>434</v>
      </c>
      <c r="BA73" s="3" t="s">
        <v>435</v>
      </c>
    </row>
    <row r="74" spans="1:53">
      <c r="A74" s="3" t="s">
        <v>99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AC74" s="3" t="s">
        <v>99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</row>
    <row r="75" spans="1:53">
      <c r="A75" s="3" t="s">
        <v>100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AC75" s="3" t="s">
        <v>100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</row>
    <row r="76" spans="1:53">
      <c r="A76" s="3" t="s">
        <v>101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AC76" s="3" t="s">
        <v>101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</row>
    <row r="77" spans="1:53">
      <c r="A77" s="3" t="s">
        <v>102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AC77" s="3" t="s">
        <v>102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</row>
    <row r="78" spans="1:53">
      <c r="A78" s="3" t="s">
        <v>103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AC78" s="3" t="s">
        <v>103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</row>
    <row r="79" spans="1:53">
      <c r="A79" s="3" t="s">
        <v>104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AC79" s="3" t="s">
        <v>104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</row>
    <row r="80" spans="1:53">
      <c r="A80" s="3" t="s">
        <v>105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AC80" s="3" t="s">
        <v>105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</row>
    <row r="81" spans="1:53">
      <c r="A81" s="3" t="s">
        <v>106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AC81" s="3" t="s">
        <v>106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</row>
    <row r="82" spans="1:53">
      <c r="A82" s="3" t="s">
        <v>107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AC82" s="3" t="s">
        <v>107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</row>
    <row r="83" spans="1:53">
      <c r="A83" s="3" t="s">
        <v>108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AC83" s="3" t="s">
        <v>108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</row>
    <row r="84" spans="1:53">
      <c r="A84" s="3" t="s">
        <v>109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AC84" s="3" t="s">
        <v>109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</row>
    <row r="85" spans="1:53">
      <c r="A85" s="3" t="s">
        <v>110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AC85" s="3" t="s">
        <v>110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</row>
    <row r="86" spans="1:53">
      <c r="A86" s="3" t="s">
        <v>111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AC86" s="3" t="s">
        <v>111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</row>
    <row r="87" spans="1:53">
      <c r="A87" s="3" t="s">
        <v>112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AC87" s="3" t="s">
        <v>112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</row>
    <row r="88" spans="1:53">
      <c r="A88" s="3" t="s">
        <v>113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AC88" s="3" t="s">
        <v>113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</row>
    <row r="89" spans="1:53">
      <c r="A89" s="3" t="s">
        <v>114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AC89" s="3" t="s">
        <v>114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</row>
    <row r="90" spans="1:53">
      <c r="A90" s="3" t="s">
        <v>115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AC90" s="3" t="s">
        <v>115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</row>
    <row r="91" spans="1:53">
      <c r="A91" s="3" t="s">
        <v>116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AC91" s="3" t="s">
        <v>116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</row>
    <row r="92" spans="1:53">
      <c r="A92" s="3" t="s">
        <v>117</v>
      </c>
      <c r="B92" s="5">
        <v>2033.6</v>
      </c>
      <c r="C92" s="5">
        <v>2050</v>
      </c>
      <c r="D92" s="5">
        <v>2066.4</v>
      </c>
      <c r="E92" s="5">
        <v>2082.8</v>
      </c>
      <c r="F92" s="5">
        <v>2099.2</v>
      </c>
      <c r="G92" s="5">
        <v>2115.6</v>
      </c>
      <c r="H92" s="5">
        <v>2132</v>
      </c>
      <c r="I92" s="5">
        <v>2148.4</v>
      </c>
      <c r="J92" s="5">
        <v>2164.8</v>
      </c>
      <c r="K92" s="5">
        <v>2181.2</v>
      </c>
      <c r="L92" s="5">
        <v>2197.6</v>
      </c>
      <c r="M92" s="5">
        <v>2214</v>
      </c>
      <c r="N92" s="5">
        <v>2230.4</v>
      </c>
      <c r="O92" s="5">
        <v>2246.8</v>
      </c>
      <c r="P92" s="5">
        <v>2263.2</v>
      </c>
      <c r="Q92" s="5">
        <v>2279.6</v>
      </c>
      <c r="R92" s="5">
        <v>2296</v>
      </c>
      <c r="S92" s="5">
        <v>2312.4</v>
      </c>
      <c r="T92" s="5">
        <v>2328.8</v>
      </c>
      <c r="U92" s="5">
        <v>2345.2</v>
      </c>
      <c r="V92" s="5">
        <v>2361.6</v>
      </c>
      <c r="W92" s="5">
        <v>2378</v>
      </c>
      <c r="X92" s="5">
        <v>2394.4</v>
      </c>
      <c r="Y92" s="5">
        <v>2410.8</v>
      </c>
      <c r="AC92" s="3" t="s">
        <v>117</v>
      </c>
      <c r="AD92" s="5">
        <v>2277.632</v>
      </c>
      <c r="AE92" s="5">
        <v>2296</v>
      </c>
      <c r="AF92" s="5">
        <v>2314.368</v>
      </c>
      <c r="AG92" s="5">
        <v>2332.736</v>
      </c>
      <c r="AH92" s="5">
        <v>2351.104</v>
      </c>
      <c r="AI92" s="5">
        <v>2369.472</v>
      </c>
      <c r="AJ92" s="5">
        <v>2387.84</v>
      </c>
      <c r="AK92" s="5">
        <v>2406.208</v>
      </c>
      <c r="AL92" s="5">
        <v>2424.576</v>
      </c>
      <c r="AM92" s="5">
        <v>2442.944</v>
      </c>
      <c r="AN92" s="5">
        <v>2461.312</v>
      </c>
      <c r="AO92" s="5">
        <v>2479.68</v>
      </c>
      <c r="AP92" s="5">
        <v>2498.048</v>
      </c>
      <c r="AQ92" s="5">
        <v>2516.416</v>
      </c>
      <c r="AR92" s="5">
        <v>2534.784</v>
      </c>
      <c r="AS92" s="5">
        <v>2553.152</v>
      </c>
      <c r="AT92" s="5">
        <v>2571.52</v>
      </c>
      <c r="AU92" s="5">
        <v>2589.888</v>
      </c>
      <c r="AV92" s="5">
        <v>2608.256</v>
      </c>
      <c r="AW92" s="5">
        <v>2626.624</v>
      </c>
      <c r="AX92" s="5">
        <v>2644.992</v>
      </c>
      <c r="AY92" s="5">
        <v>2663.36</v>
      </c>
      <c r="AZ92" s="5">
        <v>2681.728</v>
      </c>
      <c r="BA92" s="5">
        <v>2700.096</v>
      </c>
    </row>
    <row r="93" spans="1:53">
      <c r="A93" s="3" t="s">
        <v>118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AC93" s="3" t="s">
        <v>118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</row>
    <row r="94" spans="1:53">
      <c r="A94" s="3" t="s">
        <v>436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AC94" s="3" t="s">
        <v>436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</row>
    <row r="95" spans="1:53">
      <c r="A95" s="3" t="s">
        <v>92</v>
      </c>
      <c r="B95" s="3" t="s">
        <v>412</v>
      </c>
      <c r="C95" s="3" t="s">
        <v>413</v>
      </c>
      <c r="D95" s="3" t="s">
        <v>414</v>
      </c>
      <c r="E95" s="3" t="s">
        <v>415</v>
      </c>
      <c r="F95" s="3" t="s">
        <v>416</v>
      </c>
      <c r="G95" s="3" t="s">
        <v>417</v>
      </c>
      <c r="H95" s="3" t="s">
        <v>418</v>
      </c>
      <c r="I95" s="3" t="s">
        <v>419</v>
      </c>
      <c r="J95" s="3" t="s">
        <v>420</v>
      </c>
      <c r="K95" s="3" t="s">
        <v>421</v>
      </c>
      <c r="L95" s="3" t="s">
        <v>422</v>
      </c>
      <c r="M95" s="3" t="s">
        <v>423</v>
      </c>
      <c r="N95" s="3" t="s">
        <v>424</v>
      </c>
      <c r="O95" s="3" t="s">
        <v>425</v>
      </c>
      <c r="P95" s="3" t="s">
        <v>426</v>
      </c>
      <c r="Q95" s="3" t="s">
        <v>427</v>
      </c>
      <c r="R95" s="3" t="s">
        <v>428</v>
      </c>
      <c r="S95" s="3" t="s">
        <v>429</v>
      </c>
      <c r="T95" s="3" t="s">
        <v>430</v>
      </c>
      <c r="U95" s="3" t="s">
        <v>431</v>
      </c>
      <c r="V95" s="3" t="s">
        <v>432</v>
      </c>
      <c r="W95" s="3" t="s">
        <v>433</v>
      </c>
      <c r="X95" s="3" t="s">
        <v>434</v>
      </c>
      <c r="Y95" s="3" t="s">
        <v>435</v>
      </c>
      <c r="AC95" s="3" t="s">
        <v>92</v>
      </c>
      <c r="AD95" s="3" t="s">
        <v>412</v>
      </c>
      <c r="AE95" s="3" t="s">
        <v>413</v>
      </c>
      <c r="AF95" s="3" t="s">
        <v>414</v>
      </c>
      <c r="AG95" s="3" t="s">
        <v>415</v>
      </c>
      <c r="AH95" s="3" t="s">
        <v>416</v>
      </c>
      <c r="AI95" s="3" t="s">
        <v>417</v>
      </c>
      <c r="AJ95" s="3" t="s">
        <v>418</v>
      </c>
      <c r="AK95" s="3" t="s">
        <v>419</v>
      </c>
      <c r="AL95" s="3" t="s">
        <v>420</v>
      </c>
      <c r="AM95" s="3" t="s">
        <v>421</v>
      </c>
      <c r="AN95" s="3" t="s">
        <v>422</v>
      </c>
      <c r="AO95" s="3" t="s">
        <v>423</v>
      </c>
      <c r="AP95" s="3" t="s">
        <v>424</v>
      </c>
      <c r="AQ95" s="3" t="s">
        <v>425</v>
      </c>
      <c r="AR95" s="3" t="s">
        <v>426</v>
      </c>
      <c r="AS95" s="3" t="s">
        <v>427</v>
      </c>
      <c r="AT95" s="3" t="s">
        <v>428</v>
      </c>
      <c r="AU95" s="3" t="s">
        <v>429</v>
      </c>
      <c r="AV95" s="3" t="s">
        <v>430</v>
      </c>
      <c r="AW95" s="3" t="s">
        <v>431</v>
      </c>
      <c r="AX95" s="3" t="s">
        <v>432</v>
      </c>
      <c r="AY95" s="3" t="s">
        <v>433</v>
      </c>
      <c r="AZ95" s="3" t="s">
        <v>434</v>
      </c>
      <c r="BA95" s="3" t="s">
        <v>435</v>
      </c>
    </row>
    <row r="96" spans="1:53">
      <c r="A96" s="3" t="s">
        <v>99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AC96" s="3" t="s">
        <v>99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</row>
    <row r="97" spans="1:53">
      <c r="A97" s="3" t="s">
        <v>100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AC97" s="3" t="s">
        <v>100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</row>
    <row r="98" spans="1:53">
      <c r="A98" s="3" t="s">
        <v>101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AC98" s="3" t="s">
        <v>101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</row>
    <row r="99" spans="1:53">
      <c r="A99" s="3" t="s">
        <v>102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AC99" s="3" t="s">
        <v>102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</row>
    <row r="100" spans="1:53">
      <c r="A100" s="3" t="s">
        <v>103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AC100" s="3" t="s">
        <v>103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</row>
    <row r="101" spans="1:53">
      <c r="A101" s="3" t="s">
        <v>104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AC101" s="3" t="s">
        <v>104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</row>
    <row r="102" spans="1:53">
      <c r="A102" s="3" t="s">
        <v>105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AC102" s="3" t="s">
        <v>105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</row>
    <row r="103" spans="1:53">
      <c r="A103" s="3" t="s">
        <v>106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AC103" s="3" t="s">
        <v>106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</row>
    <row r="104" spans="1:53">
      <c r="A104" s="3" t="s">
        <v>107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AC104" s="3" t="s">
        <v>107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</row>
    <row r="105" spans="1:53">
      <c r="A105" s="3" t="s">
        <v>108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AC105" s="3" t="s">
        <v>108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</row>
    <row r="106" spans="1:53">
      <c r="A106" s="3" t="s">
        <v>109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AC106" s="3" t="s">
        <v>109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</row>
    <row r="107" spans="1:53">
      <c r="A107" s="3" t="s">
        <v>110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AC107" s="3" t="s">
        <v>110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</row>
    <row r="108" spans="1:53">
      <c r="A108" s="3" t="s">
        <v>111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AC108" s="3" t="s">
        <v>111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</row>
    <row r="109" spans="1:53">
      <c r="A109" s="3" t="s">
        <v>112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AC109" s="3" t="s">
        <v>112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</row>
    <row r="110" spans="1:53">
      <c r="A110" s="3" t="s">
        <v>113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AC110" s="3" t="s">
        <v>113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</row>
    <row r="111" spans="1:53">
      <c r="A111" s="3" t="s">
        <v>114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AC111" s="3" t="s">
        <v>114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</row>
    <row r="112" spans="1:53">
      <c r="A112" s="3" t="s">
        <v>115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AC112" s="3" t="s">
        <v>115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</row>
    <row r="113" spans="1:53">
      <c r="A113" s="3" t="s">
        <v>116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AC113" s="3" t="s">
        <v>116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</row>
    <row r="114" spans="1:53">
      <c r="A114" s="3" t="s">
        <v>117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AC114" s="3" t="s">
        <v>117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</row>
    <row r="115" spans="1:53">
      <c r="A115" s="3" t="s">
        <v>118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AC115" s="3" t="s">
        <v>118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</row>
    <row r="116" spans="1:53">
      <c r="A116" s="3" t="s">
        <v>437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AC116" s="3" t="s">
        <v>437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</row>
    <row r="117" spans="1:53">
      <c r="A117" s="3" t="s">
        <v>92</v>
      </c>
      <c r="B117" s="3" t="s">
        <v>412</v>
      </c>
      <c r="C117" s="3" t="s">
        <v>413</v>
      </c>
      <c r="D117" s="3" t="s">
        <v>414</v>
      </c>
      <c r="E117" s="3" t="s">
        <v>415</v>
      </c>
      <c r="F117" s="3" t="s">
        <v>416</v>
      </c>
      <c r="G117" s="3" t="s">
        <v>417</v>
      </c>
      <c r="H117" s="3" t="s">
        <v>418</v>
      </c>
      <c r="I117" s="3" t="s">
        <v>419</v>
      </c>
      <c r="J117" s="3" t="s">
        <v>420</v>
      </c>
      <c r="K117" s="3" t="s">
        <v>421</v>
      </c>
      <c r="L117" s="3" t="s">
        <v>422</v>
      </c>
      <c r="M117" s="3" t="s">
        <v>423</v>
      </c>
      <c r="N117" s="3" t="s">
        <v>424</v>
      </c>
      <c r="O117" s="3" t="s">
        <v>425</v>
      </c>
      <c r="P117" s="3" t="s">
        <v>426</v>
      </c>
      <c r="Q117" s="3" t="s">
        <v>427</v>
      </c>
      <c r="R117" s="3" t="s">
        <v>428</v>
      </c>
      <c r="S117" s="3" t="s">
        <v>429</v>
      </c>
      <c r="T117" s="3" t="s">
        <v>430</v>
      </c>
      <c r="U117" s="3" t="s">
        <v>431</v>
      </c>
      <c r="V117" s="3" t="s">
        <v>432</v>
      </c>
      <c r="W117" s="3" t="s">
        <v>433</v>
      </c>
      <c r="X117" s="3" t="s">
        <v>434</v>
      </c>
      <c r="Y117" s="3" t="s">
        <v>435</v>
      </c>
      <c r="AC117" s="3" t="s">
        <v>92</v>
      </c>
      <c r="AD117" s="3" t="s">
        <v>412</v>
      </c>
      <c r="AE117" s="3" t="s">
        <v>413</v>
      </c>
      <c r="AF117" s="3" t="s">
        <v>414</v>
      </c>
      <c r="AG117" s="3" t="s">
        <v>415</v>
      </c>
      <c r="AH117" s="3" t="s">
        <v>416</v>
      </c>
      <c r="AI117" s="3" t="s">
        <v>417</v>
      </c>
      <c r="AJ117" s="3" t="s">
        <v>418</v>
      </c>
      <c r="AK117" s="3" t="s">
        <v>419</v>
      </c>
      <c r="AL117" s="3" t="s">
        <v>420</v>
      </c>
      <c r="AM117" s="3" t="s">
        <v>421</v>
      </c>
      <c r="AN117" s="3" t="s">
        <v>422</v>
      </c>
      <c r="AO117" s="3" t="s">
        <v>423</v>
      </c>
      <c r="AP117" s="3" t="s">
        <v>424</v>
      </c>
      <c r="AQ117" s="3" t="s">
        <v>425</v>
      </c>
      <c r="AR117" s="3" t="s">
        <v>426</v>
      </c>
      <c r="AS117" s="3" t="s">
        <v>427</v>
      </c>
      <c r="AT117" s="3" t="s">
        <v>428</v>
      </c>
      <c r="AU117" s="3" t="s">
        <v>429</v>
      </c>
      <c r="AV117" s="3" t="s">
        <v>430</v>
      </c>
      <c r="AW117" s="3" t="s">
        <v>431</v>
      </c>
      <c r="AX117" s="3" t="s">
        <v>432</v>
      </c>
      <c r="AY117" s="3" t="s">
        <v>433</v>
      </c>
      <c r="AZ117" s="3" t="s">
        <v>434</v>
      </c>
      <c r="BA117" s="3" t="s">
        <v>435</v>
      </c>
    </row>
    <row r="118" spans="1:53">
      <c r="A118" s="3" t="s">
        <v>99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AC118" s="3" t="s">
        <v>99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</row>
    <row r="119" spans="1:53">
      <c r="A119" s="3" t="s">
        <v>100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AC119" s="3" t="s">
        <v>100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</row>
    <row r="120" spans="1:53">
      <c r="A120" s="3" t="s">
        <v>101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AC120" s="3" t="s">
        <v>101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</row>
    <row r="121" spans="1:53">
      <c r="A121" s="3" t="s">
        <v>102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AC121" s="3" t="s">
        <v>102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</row>
    <row r="122" spans="1:53">
      <c r="A122" s="3" t="s">
        <v>103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AC122" s="3" t="s">
        <v>103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</row>
    <row r="123" spans="1:53">
      <c r="A123" s="3" t="s">
        <v>104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AC123" s="3" t="s">
        <v>104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</row>
    <row r="124" spans="1:53">
      <c r="A124" s="3" t="s">
        <v>105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AC124" s="3" t="s">
        <v>105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</row>
    <row r="125" spans="1:53">
      <c r="A125" s="3" t="s">
        <v>106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AC125" s="3" t="s">
        <v>106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</row>
    <row r="126" spans="1:53">
      <c r="A126" s="3" t="s">
        <v>107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AC126" s="3" t="s">
        <v>107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</row>
    <row r="127" spans="1:53">
      <c r="A127" s="3" t="s">
        <v>108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AC127" s="3" t="s">
        <v>108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</row>
    <row r="128" spans="1:53">
      <c r="A128" s="3" t="s">
        <v>109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AC128" s="3" t="s">
        <v>109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</row>
    <row r="129" spans="1:53">
      <c r="A129" s="3" t="s">
        <v>110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AC129" s="3" t="s">
        <v>110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</row>
    <row r="130" spans="1:53">
      <c r="A130" s="3" t="s">
        <v>111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AC130" s="3" t="s">
        <v>111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</row>
    <row r="131" spans="1:53">
      <c r="A131" s="3" t="s">
        <v>112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AC131" s="3" t="s">
        <v>112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</row>
    <row r="132" spans="1:53">
      <c r="A132" s="3" t="s">
        <v>113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AC132" s="3" t="s">
        <v>113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</row>
    <row r="133" spans="1:53">
      <c r="A133" s="3" t="s">
        <v>114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AC133" s="3" t="s">
        <v>114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</row>
    <row r="134" spans="1:53">
      <c r="A134" s="3" t="s">
        <v>115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AC134" s="3" t="s">
        <v>115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</row>
    <row r="135" spans="1:53">
      <c r="A135" s="3" t="s">
        <v>116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AC135" s="3" t="s">
        <v>116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</row>
    <row r="136" spans="1:53">
      <c r="A136" s="3" t="s">
        <v>117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AC136" s="3" t="s">
        <v>117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</row>
    <row r="137" spans="1:53">
      <c r="A137" s="3" t="s">
        <v>118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AC137" s="3" t="s">
        <v>118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</row>
  </sheetData>
  <mergeCells count="2">
    <mergeCell ref="A1:Y1"/>
    <mergeCell ref="AC1:B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Resumo Categorias</vt:lpstr>
      <vt:lpstr>BISNAGA_REGULAR</vt:lpstr>
      <vt:lpstr>BOLOS_REGULAR</vt:lpstr>
      <vt:lpstr>Gráficos Cobertura</vt:lpstr>
      <vt:lpstr>Base SKUs</vt:lpstr>
      <vt:lpstr>SKUs por Categoria</vt:lpstr>
      <vt:lpstr>Parâmetros</vt:lpstr>
      <vt:lpstr>Descrição Cálculos</vt:lpstr>
      <vt:lpstr>Avisos</vt:lpstr>
      <vt:lpstr>Crosschecks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2026-06-18T18:14:48Z</dcterms:created>
  <dcterms:modified xsi:type="dcterms:W3CDTF">2026-06-18T18:14:48Z</dcterms:modified>
</cp:coreProperties>
</file>