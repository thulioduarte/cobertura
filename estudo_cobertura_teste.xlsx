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Categorias" sheetId="1" r:id="rId1"/>
    <sheet name="BISNAGA_REGULAR" sheetId="2" r:id="rId2"/>
    <sheet name="BOLOS_REGULAR" sheetId="3" r:id="rId3"/>
    <sheet name="Gráficos Cobertura" sheetId="4" r:id="rId4"/>
    <sheet name="Base SKUs" sheetId="5" r:id="rId5"/>
    <sheet name="Base Contribuição Sell-out" sheetId="6" state="hidden" r:id="rId6"/>
    <sheet name="SKUs por Categoria" sheetId="7" r:id="rId7"/>
    <sheet name="Crosschecks" sheetId="8" r:id="rId8"/>
    <sheet name="Parâmetros" sheetId="9" r:id="rId9"/>
    <sheet name="Descrição Cálculos" sheetId="10" r:id="rId10"/>
    <sheet name="Avisos" sheetId="11" r:id="rId11"/>
  </sheets>
  <definedNames>
    <definedName name="_xlnm._FilterDatabase" localSheetId="10" hidden="1">Avisos!$A$2:$A$15</definedName>
    <definedName name="_xlnm._FilterDatabase" localSheetId="5" hidden="1">'Base Contribuição Sell-out'!$A$2:$I$98</definedName>
    <definedName name="_xlnm._FilterDatabase" localSheetId="4" hidden="1">'Base SKUs'!$A$2:$W$6</definedName>
    <definedName name="_xlnm._FilterDatabase" localSheetId="9" hidden="1">'Descrição Cálculos'!$A$2:$D$40</definedName>
    <definedName name="_xlnm._FilterDatabase" localSheetId="8" hidden="1">Parâmetros!$A$2:$B$31</definedName>
    <definedName name="_xlnm._FilterDatabase" localSheetId="0" hidden="1">'Resumo Categorias'!$A$2:$Y$4</definedName>
    <definedName name="_xlnm._FilterDatabase" localSheetId="6" hidden="1">'SKUs por Categoria'!$A$2:$U$4</definedName>
  </definedNames>
  <calcPr calcId="124519" fullCalcOnLoad="1"/>
</workbook>
</file>

<file path=xl/sharedStrings.xml><?xml version="1.0" encoding="utf-8"?>
<sst xmlns="http://schemas.openxmlformats.org/spreadsheetml/2006/main" count="1464" uniqueCount="336">
  <si>
    <t>Abrir aba</t>
  </si>
  <si>
    <t>Categoria</t>
  </si>
  <si>
    <t>Status Sell-in</t>
  </si>
  <si>
    <t>Importância Sell-in</t>
  </si>
  <si>
    <t>Tendência Sell-in</t>
  </si>
  <si>
    <t>Tendência Sell-out</t>
  </si>
  <si>
    <t>Diferença Tendência</t>
  </si>
  <si>
    <t>Meses consecutivos Sell-in</t>
  </si>
  <si>
    <t>Qtd SKUs Sell-in</t>
  </si>
  <si>
    <t>Qtd SKUs Sell-out</t>
  </si>
  <si>
    <t>Qtd SKUs em comum</t>
  </si>
  <si>
    <t>Período exibido</t>
  </si>
  <si>
    <t>Cobertura MAT</t>
  </si>
  <si>
    <t>Sell-in 6M Anterior</t>
  </si>
  <si>
    <t>Sell-in 6M Atual</t>
  </si>
  <si>
    <t>Tendência Sell-in 6M</t>
  </si>
  <si>
    <t>Sell-out 6M Anterior</t>
  </si>
  <si>
    <t>Sell-out 6M Atual</t>
  </si>
  <si>
    <t>Tendência Sell-out 6M</t>
  </si>
  <si>
    <t>Cobertura atual</t>
  </si>
  <si>
    <t>SKUs_Sellin</t>
  </si>
  <si>
    <t>SKUs_Sellout</t>
  </si>
  <si>
    <t>SKUs_Em_Comum</t>
  </si>
  <si>
    <t>Cobertura importância Sell-in</t>
  </si>
  <si>
    <t>Cobertura importância Sell-out</t>
  </si>
  <si>
    <t>BOLOS_REGULAR</t>
  </si>
  <si>
    <t>BISNAGA_REGULAR</t>
  </si>
  <si>
    <t>BOLOS REGULAR</t>
  </si>
  <si>
    <t>BISNAGA REGULAR</t>
  </si>
  <si>
    <t>Válido</t>
  </si>
  <si>
    <t>01/2024 a 12/2025</t>
  </si>
  <si>
    <t>Resumo Categorias</t>
  </si>
  <si>
    <t>Voltar ao Resumo</t>
  </si>
  <si>
    <t>Estudo de Cobertura</t>
  </si>
  <si>
    <t>Fabricante</t>
  </si>
  <si>
    <t>FAB TESTE</t>
  </si>
  <si>
    <t>Tipo de Cálculo</t>
  </si>
  <si>
    <t>Ano fechado - 01/2025 a 12/2025</t>
  </si>
  <si>
    <t>12 meses</t>
  </si>
  <si>
    <t>Volume FY 2024</t>
  </si>
  <si>
    <t>Volume FY 2025</t>
  </si>
  <si>
    <t>Tendência</t>
  </si>
  <si>
    <t>Sellin</t>
  </si>
  <si>
    <t>Sellout</t>
  </si>
  <si>
    <t>6 meses móveis - 07/2025 a 12/2025</t>
  </si>
  <si>
    <t>Volume 6M Ant.</t>
  </si>
  <si>
    <t>Volume 6M Atual</t>
  </si>
  <si>
    <t>Período</t>
  </si>
  <si>
    <t>Dt Inic</t>
  </si>
  <si>
    <t>Dt fim</t>
  </si>
  <si>
    <t>MAT</t>
  </si>
  <si>
    <t>Volume MAT-1</t>
  </si>
  <si>
    <t>Volume MAT</t>
  </si>
  <si>
    <t>Data</t>
  </si>
  <si>
    <t>Sell-in</t>
  </si>
  <si>
    <t>Sell-out</t>
  </si>
  <si>
    <t>Cobertura</t>
  </si>
  <si>
    <t>UF</t>
  </si>
  <si>
    <t>Sell-in 12M</t>
  </si>
  <si>
    <t>Sell-out 12M</t>
  </si>
  <si>
    <t>Importância Sell-out</t>
  </si>
  <si>
    <t>AL - SE</t>
  </si>
  <si>
    <t>BA</t>
  </si>
  <si>
    <t>CE</t>
  </si>
  <si>
    <t>DF</t>
  </si>
  <si>
    <t>ES</t>
  </si>
  <si>
    <t>GO</t>
  </si>
  <si>
    <t>MA - PI</t>
  </si>
  <si>
    <t>MG</t>
  </si>
  <si>
    <t>MS</t>
  </si>
  <si>
    <t>MT</t>
  </si>
  <si>
    <t>PB</t>
  </si>
  <si>
    <t>PE</t>
  </si>
  <si>
    <t>PR</t>
  </si>
  <si>
    <t>RJ</t>
  </si>
  <si>
    <t>RN</t>
  </si>
  <si>
    <t>RR - AM - RO - AC</t>
  </si>
  <si>
    <t>RS</t>
  </si>
  <si>
    <t>SC</t>
  </si>
  <si>
    <t>SP</t>
  </si>
  <si>
    <t>TO - PA - AP</t>
  </si>
  <si>
    <t>TOTAL</t>
  </si>
  <si>
    <t>SKU em Comum</t>
  </si>
  <si>
    <t>SKUs excluídos do cálculo de SKU em Comum</t>
  </si>
  <si>
    <t>SKU</t>
  </si>
  <si>
    <t>Status</t>
  </si>
  <si>
    <t>Nome SKU</t>
  </si>
  <si>
    <t>Marca</t>
  </si>
  <si>
    <t>Nenhum SKU excluído. Todos os SKUs relevantes estão em comum entre Sell-in e Sell-out.</t>
  </si>
  <si>
    <t>Nível 2: BISNAGA REGULAR</t>
  </si>
  <si>
    <t>Nível 2: BOLOS REGULAR</t>
  </si>
  <si>
    <t>Nome_SKU</t>
  </si>
  <si>
    <t>Fabricante referência Sell-in</t>
  </si>
  <si>
    <t>Está no Sell-in Cliente</t>
  </si>
  <si>
    <t>Está no nosso Sell-out</t>
  </si>
  <si>
    <t>Está no SKU SM/Publicar</t>
  </si>
  <si>
    <t>SKU em comum</t>
  </si>
  <si>
    <t>Dentro do fabricante Sell-in</t>
  </si>
  <si>
    <t>SKU em comum no fabricante Sell-in</t>
  </si>
  <si>
    <t>Status SKU</t>
  </si>
  <si>
    <t>Volume Sell-in SKU</t>
  </si>
  <si>
    <t>Volume Sell-out SKU</t>
  </si>
  <si>
    <t>Volume Sell-out Referência SKU</t>
  </si>
  <si>
    <t>Volume Sell-out Fab. Sell-in SKU</t>
  </si>
  <si>
    <t>Importância Sell-in SKU</t>
  </si>
  <si>
    <t>Importância Sell-out SKU</t>
  </si>
  <si>
    <t>Importância Sell-out SKU Fab. Sell-in</t>
  </si>
  <si>
    <t>categoria_key</t>
  </si>
  <si>
    <t>Volume_Sellin_Encontrado_Fabricante</t>
  </si>
  <si>
    <t>SKUs_Sellin_Encontrados_Fabricante</t>
  </si>
  <si>
    <t>7891000000002</t>
  </si>
  <si>
    <t>7891000000001</t>
  </si>
  <si>
    <t>7891000000101</t>
  </si>
  <si>
    <t>7891000000100</t>
  </si>
  <si>
    <t>Produto BISNAGA REGULAR 400G</t>
  </si>
  <si>
    <t>Produto BOLOS REGULAR 400G</t>
  </si>
  <si>
    <t>MARCA A</t>
  </si>
  <si>
    <t>Em comum</t>
  </si>
  <si>
    <t>bisnaga regular</t>
  </si>
  <si>
    <t>bolos regular</t>
  </si>
  <si>
    <t>Base SKUs - Sell-in x Sell-out</t>
  </si>
  <si>
    <t>Aba Categoria</t>
  </si>
  <si>
    <t>Canal</t>
  </si>
  <si>
    <t>EAN</t>
  </si>
  <si>
    <t>Ano</t>
  </si>
  <si>
    <t>Volume Sell-out</t>
  </si>
  <si>
    <t>Base Contribuição Sell-out - uso interno da comparação</t>
  </si>
  <si>
    <t>Fabricante_referencia_Sellin</t>
  </si>
  <si>
    <t>SKUs_Em_Comum_Fabricante_Sellin</t>
  </si>
  <si>
    <t>Volume_Sellin</t>
  </si>
  <si>
    <t>Volume_Sellout</t>
  </si>
  <si>
    <t>Volume_Sellout_Fabricante_Sellin</t>
  </si>
  <si>
    <t>SKUs_Nosso_Sellout</t>
  </si>
  <si>
    <t>Volume_Sellout_Referencia</t>
  </si>
  <si>
    <t>Volume_Sellin_Em_Comum</t>
  </si>
  <si>
    <t>Volume_Sellout_Em_Comum</t>
  </si>
  <si>
    <t>Volume_Sellout_Em_Comum_Fabricante_Sellin</t>
  </si>
  <si>
    <t>Total_Sellout_Fabricante_Sellin</t>
  </si>
  <si>
    <t>Cobertura importância Sell-out Fab. Sell-in</t>
  </si>
  <si>
    <t>% Sell-in usado para detectar fabricante</t>
  </si>
  <si>
    <t>SKUs por Categoria</t>
  </si>
  <si>
    <t>Crosschecks - Sell-out x Dash por UF e mês</t>
  </si>
  <si>
    <t>Regra de UF</t>
  </si>
  <si>
    <t>UFs padronizadas para comparação: AL - SE; MA - PI; RR - AM - RO - AC; TO - PA - AP; SP consolidado com INT/MET/Interior/RegMet. O usuário preenche a tabela Dash; a tabela Check compara Dash x Sell-out.</t>
  </si>
  <si>
    <t>Sell-out por UF</t>
  </si>
  <si>
    <t>jan. 24</t>
  </si>
  <si>
    <t>fev. 24</t>
  </si>
  <si>
    <t>mar. 24</t>
  </si>
  <si>
    <t>abr. 24</t>
  </si>
  <si>
    <t>mai. 24</t>
  </si>
  <si>
    <t>jun. 24</t>
  </si>
  <si>
    <t>jul. 24</t>
  </si>
  <si>
    <t>ago. 24</t>
  </si>
  <si>
    <t>set. 24</t>
  </si>
  <si>
    <t>out. 24</t>
  </si>
  <si>
    <t>nov. 24</t>
  </si>
  <si>
    <t>dez. 24</t>
  </si>
  <si>
    <t>jan. 25</t>
  </si>
  <si>
    <t>fev. 25</t>
  </si>
  <si>
    <t>mar. 25</t>
  </si>
  <si>
    <t>abr. 25</t>
  </si>
  <si>
    <t>mai. 25</t>
  </si>
  <si>
    <t>jun. 25</t>
  </si>
  <si>
    <t>jul. 25</t>
  </si>
  <si>
    <t>ago. 25</t>
  </si>
  <si>
    <t>set. 25</t>
  </si>
  <si>
    <t>out. 25</t>
  </si>
  <si>
    <t>nov. 25</t>
  </si>
  <si>
    <t>dez. 25</t>
  </si>
  <si>
    <t>Dash</t>
  </si>
  <si>
    <t>Check</t>
  </si>
  <si>
    <t>Parâmetro</t>
  </si>
  <si>
    <t>Valor</t>
  </si>
  <si>
    <t>Arquivo Sell-in</t>
  </si>
  <si>
    <t>Arquivo Sell-out</t>
  </si>
  <si>
    <t>Arquivo Congelado opcional</t>
  </si>
  <si>
    <t>Uso do Congelado opcional</t>
  </si>
  <si>
    <t>SKUs mapeados pelo Congelado opcional</t>
  </si>
  <si>
    <t>Métrica cobertura</t>
  </si>
  <si>
    <t>Volume variável aplicado</t>
  </si>
  <si>
    <t>Gramatura média global volume variável</t>
  </si>
  <si>
    <t>SKUs com peso localizado no Dash/Vendas SKU</t>
  </si>
  <si>
    <t>Linhas Sell-in convertidas por volume variável</t>
  </si>
  <si>
    <t>Critério volume variável</t>
  </si>
  <si>
    <t>Regra categoria/PROD</t>
  </si>
  <si>
    <t>Fabricante selecionado</t>
  </si>
  <si>
    <t>Regra de categoria</t>
  </si>
  <si>
    <t>Regra leitura Sell-in</t>
  </si>
  <si>
    <t>Regra cobertura mensal</t>
  </si>
  <si>
    <t>Regra MAT</t>
  </si>
  <si>
    <t>Regra fabricante</t>
  </si>
  <si>
    <t>Regra UF comparação</t>
  </si>
  <si>
    <t>Ajuste volumetria aplicado</t>
  </si>
  <si>
    <t>Coluna ajustada por volumetria</t>
  </si>
  <si>
    <t>Divisor aplicado na volumetria</t>
  </si>
  <si>
    <t>Divisor aplicado na volumetria por categoria</t>
  </si>
  <si>
    <t>Escala/volumetria comparativa final</t>
  </si>
  <si>
    <t>Mediana Sell-out/Sell-in antes do ajuste</t>
  </si>
  <si>
    <t>Mediana Sell-out/Sell-in após ajuste</t>
  </si>
  <si>
    <t>Critério ajuste volumetria</t>
  </si>
  <si>
    <t>Data de geração</t>
  </si>
  <si>
    <t>Opções de saída geradas</t>
  </si>
  <si>
    <t>sellin_teste.xlsx</t>
  </si>
  <si>
    <t>sellout_teste.xlsx</t>
  </si>
  <si>
    <t>Não informado</t>
  </si>
  <si>
    <t>Não aplicado</t>
  </si>
  <si>
    <t>0</t>
  </si>
  <si>
    <t>volume</t>
  </si>
  <si>
    <t>Não</t>
  </si>
  <si>
    <t>NIVEL2</t>
  </si>
  <si>
    <t>NIVEL2: o SKU do Sell-in é usado para localizar o PROD correspondente no Sell-out; cada valor do NIVEL2 vira uma aba própria e o cálculo usa apenas os SKUs mapeados para aquele valor.</t>
  </si>
  <si>
    <t>Aba do template Sell-in; cabeçalho procurado primeiro de baixo para cima entre as linhas 15 e 1; se não encontrar, continua até o limite atual de leitura.</t>
  </si>
  <si>
    <t>12 meses móveis: SOMA(Sell-out últimos 12 meses) / SOMA(Sell-in últimos 12 meses)</t>
  </si>
  <si>
    <t>Prioriza anos fechados consecutivos. Se não houver, usa YTD contra mesmo período do ano anterior.</t>
  </si>
  <si>
    <t>Fabricante referência = fabricante predominante dos SKUs do Sell-in encontrados no Sell-out, ponderado pelo Sell-in.</t>
  </si>
  <si>
    <t>Sell-in e Sell-out são comparados com UF padronizada: AL - SE, MA - PI, RR - AM - RO - AC, TO - PA - AP e SP consolidado incluindo INT/MET/Interior/RegMet. Em modo mensal, a tabela por UF usa os últimos 12 meses móveis, alinhada à cobertura.</t>
  </si>
  <si>
    <t>Nenhuma</t>
  </si>
  <si>
    <t>1</t>
  </si>
  <si>
    <t>BISNAGA REGULAR: 1 (sem ajuste); BOLOS REGULAR: 1 (sem ajuste)</t>
  </si>
  <si>
    <t>Sem alteração por categoria</t>
  </si>
  <si>
    <t>0.8200000000000001</t>
  </si>
  <si>
    <t>Inferência por categoria/PROD. Categorias avaliadas: 2. Ajustes aplicados: 0.</t>
  </si>
  <si>
    <t>18/06/2026 18:13:15</t>
  </si>
  <si>
    <t>Resumo Categorias: Sim; Abas por categoria/PROD: Sim; Base SKUs: Sim; Base Contribuição Sell-out: Sim; SKUs por Categoria: Sim; Crosschecks: Sim; Parâmetros: Sim; Descrição Cálculos: Sim; Avisos: Sim; Gráficos Cobertura: Sim; Abas auxiliares da comparação: Sim; TOP 20 SKU por UF/Canal: Não</t>
  </si>
  <si>
    <t>Parâmetros usados</t>
  </si>
  <si>
    <t>Nome da aba</t>
  </si>
  <si>
    <t>Nome da coluna calculada</t>
  </si>
  <si>
    <t>Explicação</t>
  </si>
  <si>
    <t>Como foi calculado</t>
  </si>
  <si>
    <t>Abas de categoria/PROD</t>
  </si>
  <si>
    <t>Base SKUs</t>
  </si>
  <si>
    <t>Parâmetros</t>
  </si>
  <si>
    <t>Crosschecks</t>
  </si>
  <si>
    <t>Avisos</t>
  </si>
  <si>
    <t>Qtd SKUs Sell-in / Qtd SKUs Sell-out / Qtd SKUs em comum</t>
  </si>
  <si>
    <t>Tendência Sell-in / Tendência Sell-out / Diferença Tendência</t>
  </si>
  <si>
    <t>Sell-in MAT-1 / Sell-in MAT / Tendência Sell-in</t>
  </si>
  <si>
    <t>Sell-out MAT-1 / Sell-out MAT / Tendência Sell-out</t>
  </si>
  <si>
    <t>Sell-in 6M / Sell-out 6M / Cobertura 6M Atual</t>
  </si>
  <si>
    <t>Tipo comparação</t>
  </si>
  <si>
    <t>Sell-in SKU em Comum / Sell-out SKU em Comum / Cobertura SKU em Comum</t>
  </si>
  <si>
    <t>Tendência %</t>
  </si>
  <si>
    <t>Resumo MAT/YTD</t>
  </si>
  <si>
    <t>Resumo 6 meses móveis</t>
  </si>
  <si>
    <t>Volume variável aplicado / Gramatura média global</t>
  </si>
  <si>
    <t>Coluna ajustada por volumetria / Divisor aplicado</t>
  </si>
  <si>
    <t>Tabela por UF</t>
  </si>
  <si>
    <t>Gráfico Sell-in x Sell-out por mês</t>
  </si>
  <si>
    <t>Sell-out / Dash / Check</t>
  </si>
  <si>
    <t>Aviso</t>
  </si>
  <si>
    <t>Mostra quanto do Sell-in do período atual está coberto pelo Sell-out correspondente.</t>
  </si>
  <si>
    <t>Indica se a categoria/PROD tem base mensal suficiente no Sell-in para cobertura 12 meses móveis.</t>
  </si>
  <si>
    <t>Mostra quantos SKUs aparecem no Sell-in, no Sell-out e nas duas bases ao mesmo tempo.</t>
  </si>
  <si>
    <t>Mostra o peso da categoria/PROD dentro do Sell-in total do resumo, usando o mesmo período atual do cálculo principal.</t>
  </si>
  <si>
    <t>Compara a tendência de crescimento/queda do Sell-in e do Sell-out na categoria/PROD e mostra a diferença entre elas.</t>
  </si>
  <si>
    <t>Reproduz no resumo principal a comparação do bloco MAT/YTD calculada nas abas de categoria.</t>
  </si>
  <si>
    <t>Resume a comparação dos últimos 6 meses contra os 6 meses anteriores.</t>
  </si>
  <si>
    <t>Indica se a comparação usou ano fechado ou YTD.</t>
  </si>
  <si>
    <t>Percentual da importância do Sell-in do cliente que também aparece no nosso Sell-out, considerando os SKUs em comum.</t>
  </si>
  <si>
    <t>Percentual da importância do nosso Sell-out coberto pelos SKUs em comum com o Sell-in.</t>
  </si>
  <si>
    <t>Percentual da importância do nosso Sell-out coberto pelos SKUs em comum, limitado ao fabricante de referência do Sell-in.</t>
  </si>
  <si>
    <t>Quanto do Sell-in conseguiu ser usado para identificar o fabricante de referência pelo cruzamento com o Sell-out.</t>
  </si>
  <si>
    <t>Na tabela mensal, é a cobertura em 12 meses móveis, não a cobertura mensal simples.</t>
  </si>
  <si>
    <t>Mostra a cobertura mensal considerando apenas os SKUs que existem simultaneamente no Sell-in e no Sell-out.</t>
  </si>
  <si>
    <t>A tabela MAT da área I:L usa tendência de 12 meses móveis, separada da tendência FY/YTD da tabela superior.</t>
  </si>
  <si>
    <t>Mostra a variação percentual entre o período anterior e o período atual para Sell-in, Sell-out ou Cobertura.</t>
  </si>
  <si>
    <t>Resumo comparativo entre os períodos de referência usados para a categoria.</t>
  </si>
  <si>
    <t>Compara os últimos 6 meses disponíveis contra os 6 meses anteriores.</t>
  </si>
  <si>
    <t>Na tabela por UF, mostra o peso daquela UF dentro do Sell-in da categoria na mesma janela usada para a cobertura 12 meses móveis.</t>
  </si>
  <si>
    <t>Na tabela por UF, mostra o peso daquela UF dentro do Sell-out da categoria na mesma janela usada para a cobertura 12 meses móveis.</t>
  </si>
  <si>
    <t>Indica se o SKU existe tanto no Sell-in quanto no nosso Sell-out.</t>
  </si>
  <si>
    <t>Fabricante usado como referência para limitar a visão de importância do nosso Sell-out.</t>
  </si>
  <si>
    <t>Indica se o SKU pertence ao fabricante de referência do Sell-in.</t>
  </si>
  <si>
    <t>Peso do SKU dentro do Sell-in da categoria.</t>
  </si>
  <si>
    <t>Peso do SKU dentro do nosso Sell-out da categoria.</t>
  </si>
  <si>
    <t>Peso do SKU dentro do Sell-out apenas do fabricante de referência do Sell-in.</t>
  </si>
  <si>
    <t>Resumo por categoria do percentual do Sell-in coberto pelos SKUs que também estão no Sell-out.</t>
  </si>
  <si>
    <t>Resumo por categoria do percentual do Sell-out coberto pelos SKUs que também estão no Sell-in.</t>
  </si>
  <si>
    <t>Resumo por categoria do percentual do Sell-out do fabricante de referência coberto pelos SKUs em comum.</t>
  </si>
  <si>
    <t>Link interno para abrir diretamente a aba da categoria/PROD correspondente.</t>
  </si>
  <si>
    <t>Documenta se a métrica Volume Variável foi usada para converter o Sell-in em volume estimado por peso unitário médio.</t>
  </si>
  <si>
    <t>Indica se o código precisou colocar Sell-in e Sell-out na mesma escala antes de calcular cobertura.</t>
  </si>
  <si>
    <t>Mostra qual lado foi alterado e por qual fator para deixar Sell-in e Sell-out comparáveis.</t>
  </si>
  <si>
    <t>Compara Sell-in e Sell-out usando a mesma abertura de UF/grupo nos dois lados.</t>
  </si>
  <si>
    <t>Gráfico de linhas com Sell-in e Sell-out por mês, no padrão visual solicitado.</t>
  </si>
  <si>
    <t>Para cada categoria/PROD processado, mostra o Sell-out por UF e mês, deixa uma tabela Dash em branco para preenchimento manual e cria uma tabela Check para validar se Dash e Sell-out estão iguais.</t>
  </si>
  <si>
    <t>Registra pontos de atenção da leitura, como colunas não encontradas, filtros aplicados e fallbacks usados.</t>
  </si>
  <si>
    <t>Sell-out atual / Sell-in atual. O período atual é FY quando há anos fechados consecutivos; caso contrário, é YTD.</t>
  </si>
  <si>
    <t>Válido quando existe sequência de pelo menos 12 meses consecutivos com Sell-in maior que zero; caso contrário, Inválido.</t>
  </si>
  <si>
    <t>Contagem distinta de SKU/EAN por categoria/PROD em cada base e na intersecção entre Sell-in e Sell-out.</t>
  </si>
  <si>
    <t>Sell-in atual da categoria/PROD / soma do Sell-in atual de todas as categorias/PRODs. A aba Resumo Categorias é ordenada por essa coluna, do maior para o menor.</t>
  </si>
  <si>
    <t>Tendência Sell-in = (Sell-in do período atual / Sell-in do período anterior) - 1. Tendência Sell-out = (Sell-out do período atual / Sell-out do período anterior) - 1. Diferença Tendência = Tendência Sell-out - Tendência Sell-in. O período é ano fechado quando houver; caso contrário, YTD.</t>
  </si>
  <si>
    <t>Soma do Sell-in no período anterior e no período atual. A variação é (Sell-in atual / Sell-in anterior) - 1.</t>
  </si>
  <si>
    <t>Soma do Sell-out no período anterior e no período atual. A variação é (Sell-out atual / Sell-out anterior) - 1.</t>
  </si>
  <si>
    <t>Soma dos últimos 6 meses disponíveis e dos 6 meses imediatamente anteriores. Cobertura 6M Atual = Sell-out 6M Atual / Sell-in 6M Atual.</t>
  </si>
  <si>
    <t>Ano fechado quando existem dois anos completos consecutivos. Se o último ano estiver incompleto, usa YTD até o último mês disponível contra o mesmo período do ano anterior.</t>
  </si>
  <si>
    <t>Volume_Sellin_Em_Comum / Volume_Sellin.</t>
  </si>
  <si>
    <t>Volume_Sellout_Em_Comum / Volume_Sellout.</t>
  </si>
  <si>
    <t>Volume_Sellout_Em_Comum_Fabricante_Sellin / Total_Sellout_Fabricante_Sellin.</t>
  </si>
  <si>
    <t>Volume_Sellin_Encontrado_Fabricante / Volume_Sellin.</t>
  </si>
  <si>
    <t>SOMA(Sell-out dos últimos 12 meses) / SOMA(Sell-in dos últimos 12 meses). Exemplo: D40 = SOMA(C29:C40) / SOMA(B29:B40).</t>
  </si>
  <si>
    <t>Primeiro identifica os SKUs/EANs em comum na categoria/PROD. Depois soma mensalmente o Sell-in e o Sell-out apenas desses SKUs. A Cobertura SKU em Comum usa 12 meses móveis: SOMA(Sell-out SKU em Comum 12M) / SOMA(Sell-in SKU em Comum 12M).</t>
  </si>
  <si>
    <t>MAT = últimos 12 meses encerrando no último mês comum disponível. MAT-1 = 12 meses imediatamente anteriores. Tendência = MAT / MAT-1 - 1.</t>
  </si>
  <si>
    <t>(Valor atual / Valor anterior) - 1. Quando o valor anterior é zero, o resultado fica vazio.</t>
  </si>
  <si>
    <t>Soma Sell-in e Sell-out no período anterior e no atual. A cobertura do bloco é Sell-out / Sell-in em cada período.</t>
  </si>
  <si>
    <t>Soma os 6 meses mais recentes e compara com a soma dos 6 meses imediatamente anteriores. Cobertura = Sell-out / Sell-in.</t>
  </si>
  <si>
    <t>Sell-in da UF nos últimos 12 meses móveis / Sell-in total da categoria nos mesmos últimos 12 meses móveis.</t>
  </si>
  <si>
    <t>Sell-out da UF nos últimos 12 meses móveis / Sell-out total da categoria nos mesmos últimos 12 meses móveis.</t>
  </si>
  <si>
    <t>VERDADEIRO quando o SKU tem volume de Sell-in maior que zero e volume de Sell-out maior que zero.</t>
  </si>
  <si>
    <t>Identificado pelo fabricante predominante dos SKUs do Sell-in encontrados no Sell-out, considerando o maior volume de Sell-in encontrado.</t>
  </si>
  <si>
    <t>Compara o fabricante do SKU no Sell-out com o Fabricante referência Sell-in da categoria.</t>
  </si>
  <si>
    <t>Volume Sell-in SKU / Volume total de Sell-in da categoria.</t>
  </si>
  <si>
    <t>Volume Sell-out SKU / Volume total de Sell-out da categoria.</t>
  </si>
  <si>
    <t>Volume Sell-out Fab. Sell-in SKU / Volume total do Sell-out do fabricante de referência na categoria.</t>
  </si>
  <si>
    <t>O código grava um hyperlink interno para a célula A1 da aba gerada para cada categoria/PROD.</t>
  </si>
  <si>
    <t>Quando a opção volume_variavel é escolhida, o Sell-in em quantidade é multiplicado pela gramatura média ponderada localizada no nome dos SKUs do Sell-out e dividido por 1.000.</t>
  </si>
  <si>
    <t>Compara a mediana da razão Sell-out/Sell-in por categoria. Se a diferença sugerir escala de centenas, milhares, milhões etc., divide o lado maior pelo fator detectado.</t>
  </si>
  <si>
    <t>Exemplo: se Sell-out aparenta estar em unidades e Sell-in em milhares, o Sell-out é dividido por 1.000.</t>
  </si>
  <si>
    <t>Antes de somar, as UFs são padronizadas: AL e SE viram AL - SE; MA e PI viram MA - PI; RR/AM/RO/AC viram RR - AM - RO - AC; TO/PA/AP viram TO - PA - AP; aberturas de São Paulo como INT - SP, MET - SP, SP - INT, SP - Interior ou SP-REGMET viram SP. Em modo mensal, a tabela usa os últimos 12 meses móveis encerrando no último mês comum entre Sell-in e Sell-out.</t>
  </si>
  <si>
    <t>Usa os valores mensais já ajustados de volumetria. Sell-in é linha azul e Sell-out é linha laranja. A cobertura permanece na tabela, mas não entra no gráfico.</t>
  </si>
  <si>
    <t>Sell-out é agrupado por categoria/PROD, UF padronizada e mês. Dash fica em branco. Check usa fórmulas do Excel no padrão =IF(célula Dash=célula Sell-out,'OK','NOK').</t>
  </si>
  <si>
    <t>Texto gerado automaticamente durante a leitura e validação dos arquivos.</t>
  </si>
  <si>
    <t>Descrição dos cálculos e colunas calculadas</t>
  </si>
  <si>
    <t>Sell-in: coluna de valor escolhida: 'SELL IN (Kg / L)'.</t>
  </si>
  <si>
    <t>Sell-in - colunas reconhecidas: UF='UF SM'; Mês/Data='DATA'; Ano=não encontrada; SKU/EAN='EAN'; Categoria='Categoria SM'; Fabricante=não encontrada; Valor Sell-in='SELL IN (Kg / L)'.</t>
  </si>
  <si>
    <t>Sell-in - colunas opcionais não encontradas: Ano (testei: Ano, ANO, Year) | Fabricante (testei: Fabricante, Fornecedor, Indústria).</t>
  </si>
  <si>
    <t>Sell-in lido da aba 'Sell-in' a partir da linha de cabeçalho 14, usando a coluna 'SELL IN (Kg / L)' como métrica.</t>
  </si>
  <si>
    <t>Sell-out - colunas reconhecidas: UF='UF'; Mês/Data='DATA'; Ano=não encontrada; SKU/EAN='SKU'; Categoria/PROD='NIVEL2'; Fabricante='Fabricante'; Marca='Marca'; Nome SKU='Nome SKU'; Canal=não encontrada; Valor Sell-out='Vendas_em_volume'; Qtd Sell-out para ponderação=não encontrada; Volume Sell-out para comparação=não encontrada.</t>
  </si>
  <si>
    <t>Sell-out - colunas opcionais não encontradas: Ano (testei: Ano, ANO, Year) | Canal (testei: PDV_CANAL, Canal).</t>
  </si>
  <si>
    <t>Sell-out filtrado pelo fabricante selecionado: FAB TESTE. Exato: 96; contém: 96; linhas mantidas: 96 de 96.</t>
  </si>
  <si>
    <t>Sell-out lido da aba 'Sheet1', usando coluna 'NIVEL2' do Sell-out como categoria/PROD e 'Vendas_em_volume' como métrica.</t>
  </si>
  <si>
    <t>Mapeamento de categoria no Sell-in via Sell-out: 4 de 4 SKUs do Sell-in encontrados.</t>
  </si>
  <si>
    <t>NIVEL2: 4 de 4 SKUs do Sell-in foram mapeados para valores do NIVEL2. Cada valor do NIVEL2 será gerado em uma aba própria.</t>
  </si>
  <si>
    <t>NIVEL2: as abas serão geradas pelo próprio valor do nível escolhido, por exemplo PÃO_DE_FORMA_TRADICIONAL, PÃO_DE_FORMA_INTEGRAL etc.</t>
  </si>
  <si>
    <t>Volumetria: sem ajuste aplicado por categoria. Mediana Sell-out/Sell-in = 0.8200.</t>
  </si>
  <si>
    <t>UF comparação: Sell-in e Sell-out foram consolidados para a mesma abertura de UF/grupo: AL - SE, MA - PI, RR - AM - RO - AC, TO - PA - AP e SP único somando INT/MET/Interior/RegMet. A tabela por UF, em modo mensal, usa os últimos 12 meses móveis, alinhada à cobertura.</t>
  </si>
</sst>
</file>

<file path=xl/styles.xml><?xml version="1.0" encoding="utf-8"?>
<styleSheet xmlns="http://schemas.openxmlformats.org/spreadsheetml/2006/main">
  <numFmts count="5">
    <numFmt numFmtId="164" formatCode="0.0%"/>
    <numFmt numFmtId="165" formatCode="#,##0"/>
    <numFmt numFmtId="166" formatCode="#,##0.0"/>
    <numFmt numFmtId="167" formatCode="mmm/yy"/>
    <numFmt numFmtId="168" formatCode="YYYY-MM-DD HH:MM:SS"/>
  </numFmts>
  <fonts count="8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7" fontId="0" fillId="0" borderId="1" xfId="0" applyNumberFormat="1" applyBorder="1"/>
    <xf numFmtId="168" fontId="0" fillId="0" borderId="0" xfId="0" applyNumberFormat="1"/>
    <xf numFmtId="0" fontId="2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375623"/>
      </font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="1" baseline="0">
                <a:solidFill>
                  <a:srgbClr val="000000"/>
                </a:solidFill>
              </a:defRPr>
            </a:pPr>
            <a:r>
              <a:rPr lang="en-US" sz="1600" b="1" baseline="0">
                <a:solidFill>
                  <a:srgbClr val="000000"/>
                </a:solidFill>
              </a:rPr>
              <a:t>Sell-in x Sell-out por mês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Sell-in</c:v>
          </c:tx>
          <c:spPr>
            <a:ln w="28575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BISNAGA_REGULAR!$B$19:$B$42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BISNAGA_REGULAR!$C$19:$C$42</c:f>
              <c:numCache>
                <c:formatCode>General</c:formatCode>
                <c:ptCount val="24"/>
                <c:pt idx="0">
                  <c:v>2080</c:v>
                </c:pt>
                <c:pt idx="1">
                  <c:v>2100</c:v>
                </c:pt>
                <c:pt idx="2">
                  <c:v>2120</c:v>
                </c:pt>
                <c:pt idx="3">
                  <c:v>2140</c:v>
                </c:pt>
                <c:pt idx="4">
                  <c:v>2160</c:v>
                </c:pt>
                <c:pt idx="5">
                  <c:v>2180</c:v>
                </c:pt>
                <c:pt idx="6">
                  <c:v>2200</c:v>
                </c:pt>
                <c:pt idx="7">
                  <c:v>2220</c:v>
                </c:pt>
                <c:pt idx="8">
                  <c:v>2240</c:v>
                </c:pt>
                <c:pt idx="9">
                  <c:v>2260</c:v>
                </c:pt>
                <c:pt idx="10">
                  <c:v>2280</c:v>
                </c:pt>
                <c:pt idx="11">
                  <c:v>2300</c:v>
                </c:pt>
                <c:pt idx="12">
                  <c:v>2320</c:v>
                </c:pt>
                <c:pt idx="13">
                  <c:v>2340</c:v>
                </c:pt>
                <c:pt idx="14">
                  <c:v>2360</c:v>
                </c:pt>
                <c:pt idx="15">
                  <c:v>2380</c:v>
                </c:pt>
                <c:pt idx="16">
                  <c:v>2400</c:v>
                </c:pt>
                <c:pt idx="17">
                  <c:v>2420</c:v>
                </c:pt>
                <c:pt idx="18">
                  <c:v>2440</c:v>
                </c:pt>
                <c:pt idx="19">
                  <c:v>2460</c:v>
                </c:pt>
                <c:pt idx="20">
                  <c:v>2480</c:v>
                </c:pt>
                <c:pt idx="21">
                  <c:v>2500</c:v>
                </c:pt>
                <c:pt idx="22">
                  <c:v>2520</c:v>
                </c:pt>
                <c:pt idx="23">
                  <c:v>2540</c:v>
                </c:pt>
              </c:numCache>
            </c:numRef>
          </c:val>
        </c:ser>
        <c:ser>
          <c:idx val="1"/>
          <c:order val="1"/>
          <c:tx>
            <c:v>Sell-out</c:v>
          </c:tx>
          <c:spPr>
            <a:ln w="28575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BISNAGA_REGULAR!$B$19:$B$42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BISNAGA_REGULAR!$D$19:$D$42</c:f>
              <c:numCache>
                <c:formatCode>General</c:formatCode>
                <c:ptCount val="24"/>
                <c:pt idx="0">
                  <c:v>1705.6</c:v>
                </c:pt>
                <c:pt idx="1">
                  <c:v>1722</c:v>
                </c:pt>
                <c:pt idx="2">
                  <c:v>1738.4</c:v>
                </c:pt>
                <c:pt idx="3">
                  <c:v>1754.8</c:v>
                </c:pt>
                <c:pt idx="4">
                  <c:v>1771.2</c:v>
                </c:pt>
                <c:pt idx="5">
                  <c:v>1787.6</c:v>
                </c:pt>
                <c:pt idx="6">
                  <c:v>1804</c:v>
                </c:pt>
                <c:pt idx="7">
                  <c:v>1820.4</c:v>
                </c:pt>
                <c:pt idx="8">
                  <c:v>1836.8</c:v>
                </c:pt>
                <c:pt idx="9">
                  <c:v>1853.2</c:v>
                </c:pt>
                <c:pt idx="10">
                  <c:v>1869.6</c:v>
                </c:pt>
                <c:pt idx="11">
                  <c:v>1886</c:v>
                </c:pt>
                <c:pt idx="12">
                  <c:v>1902.4</c:v>
                </c:pt>
                <c:pt idx="13">
                  <c:v>1918.8</c:v>
                </c:pt>
                <c:pt idx="14">
                  <c:v>1935.2</c:v>
                </c:pt>
                <c:pt idx="15">
                  <c:v>1951.6</c:v>
                </c:pt>
                <c:pt idx="16">
                  <c:v>1968</c:v>
                </c:pt>
                <c:pt idx="17">
                  <c:v>1984.4</c:v>
                </c:pt>
                <c:pt idx="18">
                  <c:v>2000.8</c:v>
                </c:pt>
                <c:pt idx="19">
                  <c:v>2017.2</c:v>
                </c:pt>
                <c:pt idx="20">
                  <c:v>2033.6</c:v>
                </c:pt>
                <c:pt idx="21">
                  <c:v>2050</c:v>
                </c:pt>
                <c:pt idx="22">
                  <c:v>2066.4</c:v>
                </c:pt>
                <c:pt idx="23">
                  <c:v>2082.8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mmm/yy" sourceLinked="0"/>
        <c:tickLblPos val="low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Sell-in SKU em Comum x Sell-out SKU em Comum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Sell-in SKU em comum</c:v>
          </c:tx>
          <c:spPr>
            <a:ln w="28575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BISNAGA_REGULAR!$B$64:$B$87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BISNAGA_REGULAR!$C$64:$C$87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26280</c:v>
                </c:pt>
                <c:pt idx="12">
                  <c:v>26520</c:v>
                </c:pt>
                <c:pt idx="13">
                  <c:v>26760</c:v>
                </c:pt>
                <c:pt idx="14">
                  <c:v>27000</c:v>
                </c:pt>
                <c:pt idx="15">
                  <c:v>27240</c:v>
                </c:pt>
                <c:pt idx="16">
                  <c:v>27480</c:v>
                </c:pt>
                <c:pt idx="17">
                  <c:v>27720</c:v>
                </c:pt>
                <c:pt idx="18">
                  <c:v>27960</c:v>
                </c:pt>
                <c:pt idx="19">
                  <c:v>28200</c:v>
                </c:pt>
                <c:pt idx="20">
                  <c:v>28440</c:v>
                </c:pt>
                <c:pt idx="21">
                  <c:v>28680</c:v>
                </c:pt>
                <c:pt idx="22">
                  <c:v>28920</c:v>
                </c:pt>
                <c:pt idx="23">
                  <c:v>29160</c:v>
                </c:pt>
              </c:numCache>
            </c:numRef>
          </c:val>
        </c:ser>
        <c:ser>
          <c:idx val="1"/>
          <c:order val="1"/>
          <c:tx>
            <c:v>Sell-out SKU em comum</c:v>
          </c:tx>
          <c:spPr>
            <a:ln w="28575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BISNAGA_REGULAR!$B$64:$B$87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BISNAGA_REGULAR!$D$64:$D$87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21549.6</c:v>
                </c:pt>
                <c:pt idx="12">
                  <c:v>21746.4</c:v>
                </c:pt>
                <c:pt idx="13">
                  <c:v>21943.2</c:v>
                </c:pt>
                <c:pt idx="14">
                  <c:v>22140</c:v>
                </c:pt>
                <c:pt idx="15">
                  <c:v>22336.8</c:v>
                </c:pt>
                <c:pt idx="16">
                  <c:v>22533.6</c:v>
                </c:pt>
                <c:pt idx="17">
                  <c:v>22730.4</c:v>
                </c:pt>
                <c:pt idx="18">
                  <c:v>22927.2</c:v>
                </c:pt>
                <c:pt idx="19">
                  <c:v>23124</c:v>
                </c:pt>
                <c:pt idx="20">
                  <c:v>23320.8</c:v>
                </c:pt>
                <c:pt idx="21">
                  <c:v>23517.6</c:v>
                </c:pt>
                <c:pt idx="22">
                  <c:v>23714.4</c:v>
                </c:pt>
                <c:pt idx="23">
                  <c:v>23911.2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mmm/yy" sourceLinked="0"/>
        <c:tickLblPos val="low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="1" baseline="0">
                <a:solidFill>
                  <a:srgbClr val="000000"/>
                </a:solidFill>
              </a:defRPr>
            </a:pPr>
            <a:r>
              <a:rPr lang="en-US" sz="1600" b="1" baseline="0">
                <a:solidFill>
                  <a:srgbClr val="000000"/>
                </a:solidFill>
              </a:rPr>
              <a:t>Sell-in x Sell-out por mês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Sell-in</c:v>
          </c:tx>
          <c:spPr>
            <a:ln w="28575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BOLOS_REGULAR!$B$19:$B$42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BOLOS_REGULAR!$C$19:$C$42</c:f>
              <c:numCache>
                <c:formatCode>General</c:formatCode>
                <c:ptCount val="24"/>
                <c:pt idx="0">
                  <c:v>2480</c:v>
                </c:pt>
                <c:pt idx="1">
                  <c:v>2500</c:v>
                </c:pt>
                <c:pt idx="2">
                  <c:v>2520</c:v>
                </c:pt>
                <c:pt idx="3">
                  <c:v>2540</c:v>
                </c:pt>
                <c:pt idx="4">
                  <c:v>2560</c:v>
                </c:pt>
                <c:pt idx="5">
                  <c:v>2580</c:v>
                </c:pt>
                <c:pt idx="6">
                  <c:v>2600</c:v>
                </c:pt>
                <c:pt idx="7">
                  <c:v>2620</c:v>
                </c:pt>
                <c:pt idx="8">
                  <c:v>2640</c:v>
                </c:pt>
                <c:pt idx="9">
                  <c:v>2660</c:v>
                </c:pt>
                <c:pt idx="10">
                  <c:v>2680</c:v>
                </c:pt>
                <c:pt idx="11">
                  <c:v>2700</c:v>
                </c:pt>
                <c:pt idx="12">
                  <c:v>2720</c:v>
                </c:pt>
                <c:pt idx="13">
                  <c:v>2740</c:v>
                </c:pt>
                <c:pt idx="14">
                  <c:v>2760</c:v>
                </c:pt>
                <c:pt idx="15">
                  <c:v>2780</c:v>
                </c:pt>
                <c:pt idx="16">
                  <c:v>2800</c:v>
                </c:pt>
                <c:pt idx="17">
                  <c:v>2820</c:v>
                </c:pt>
                <c:pt idx="18">
                  <c:v>2840</c:v>
                </c:pt>
                <c:pt idx="19">
                  <c:v>2860</c:v>
                </c:pt>
                <c:pt idx="20">
                  <c:v>2880</c:v>
                </c:pt>
                <c:pt idx="21">
                  <c:v>2900</c:v>
                </c:pt>
                <c:pt idx="22">
                  <c:v>2920</c:v>
                </c:pt>
                <c:pt idx="23">
                  <c:v>2940</c:v>
                </c:pt>
              </c:numCache>
            </c:numRef>
          </c:val>
        </c:ser>
        <c:ser>
          <c:idx val="1"/>
          <c:order val="1"/>
          <c:tx>
            <c:v>Sell-out</c:v>
          </c:tx>
          <c:spPr>
            <a:ln w="28575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BOLOS_REGULAR!$B$19:$B$42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BOLOS_REGULAR!$D$19:$D$42</c:f>
              <c:numCache>
                <c:formatCode>General</c:formatCode>
                <c:ptCount val="24"/>
                <c:pt idx="0">
                  <c:v>2033.6</c:v>
                </c:pt>
                <c:pt idx="1">
                  <c:v>2050</c:v>
                </c:pt>
                <c:pt idx="2">
                  <c:v>2066.4</c:v>
                </c:pt>
                <c:pt idx="3">
                  <c:v>2082.8</c:v>
                </c:pt>
                <c:pt idx="4">
                  <c:v>2099.2</c:v>
                </c:pt>
                <c:pt idx="5">
                  <c:v>2115.6</c:v>
                </c:pt>
                <c:pt idx="6">
                  <c:v>2132</c:v>
                </c:pt>
                <c:pt idx="7">
                  <c:v>2148.4</c:v>
                </c:pt>
                <c:pt idx="8">
                  <c:v>2164.8</c:v>
                </c:pt>
                <c:pt idx="9">
                  <c:v>2181.2</c:v>
                </c:pt>
                <c:pt idx="10">
                  <c:v>2197.6</c:v>
                </c:pt>
                <c:pt idx="11">
                  <c:v>2214</c:v>
                </c:pt>
                <c:pt idx="12">
                  <c:v>2230.4</c:v>
                </c:pt>
                <c:pt idx="13">
                  <c:v>2246.8</c:v>
                </c:pt>
                <c:pt idx="14">
                  <c:v>2263.2</c:v>
                </c:pt>
                <c:pt idx="15">
                  <c:v>2279.6</c:v>
                </c:pt>
                <c:pt idx="16">
                  <c:v>2296</c:v>
                </c:pt>
                <c:pt idx="17">
                  <c:v>2312.4</c:v>
                </c:pt>
                <c:pt idx="18">
                  <c:v>2328.8</c:v>
                </c:pt>
                <c:pt idx="19">
                  <c:v>2345.2</c:v>
                </c:pt>
                <c:pt idx="20">
                  <c:v>2361.6</c:v>
                </c:pt>
                <c:pt idx="21">
                  <c:v>2378</c:v>
                </c:pt>
                <c:pt idx="22">
                  <c:v>2394.4</c:v>
                </c:pt>
                <c:pt idx="23">
                  <c:v>2410.8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mmm/yy" sourceLinked="0"/>
        <c:tickLblPos val="low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Sell-in SKU em Comum x Sell-out SKU em Comum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Sell-in SKU em comum</c:v>
          </c:tx>
          <c:spPr>
            <a:ln w="28575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BOLOS_REGULAR!$B$64:$B$87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BOLOS_REGULAR!$C$64:$C$87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31080</c:v>
                </c:pt>
                <c:pt idx="12">
                  <c:v>31320</c:v>
                </c:pt>
                <c:pt idx="13">
                  <c:v>31560</c:v>
                </c:pt>
                <c:pt idx="14">
                  <c:v>31800</c:v>
                </c:pt>
                <c:pt idx="15">
                  <c:v>32040</c:v>
                </c:pt>
                <c:pt idx="16">
                  <c:v>32280</c:v>
                </c:pt>
                <c:pt idx="17">
                  <c:v>32520</c:v>
                </c:pt>
                <c:pt idx="18">
                  <c:v>32760</c:v>
                </c:pt>
                <c:pt idx="19">
                  <c:v>33000</c:v>
                </c:pt>
                <c:pt idx="20">
                  <c:v>33240</c:v>
                </c:pt>
                <c:pt idx="21">
                  <c:v>33480</c:v>
                </c:pt>
                <c:pt idx="22">
                  <c:v>33720</c:v>
                </c:pt>
                <c:pt idx="23">
                  <c:v>33960</c:v>
                </c:pt>
              </c:numCache>
            </c:numRef>
          </c:val>
        </c:ser>
        <c:ser>
          <c:idx val="1"/>
          <c:order val="1"/>
          <c:tx>
            <c:v>Sell-out SKU em comum</c:v>
          </c:tx>
          <c:spPr>
            <a:ln w="28575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BOLOS_REGULAR!$B$64:$B$87</c:f>
              <c:numCache>
                <c:formatCode>General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BOLOS_REGULAR!$D$64:$D$87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25485.6</c:v>
                </c:pt>
                <c:pt idx="12">
                  <c:v>25682.4</c:v>
                </c:pt>
                <c:pt idx="13">
                  <c:v>25879.2</c:v>
                </c:pt>
                <c:pt idx="14">
                  <c:v>26076</c:v>
                </c:pt>
                <c:pt idx="15">
                  <c:v>26272.8</c:v>
                </c:pt>
                <c:pt idx="16">
                  <c:v>26469.6</c:v>
                </c:pt>
                <c:pt idx="17">
                  <c:v>26666.4</c:v>
                </c:pt>
                <c:pt idx="18">
                  <c:v>26863.2</c:v>
                </c:pt>
                <c:pt idx="19">
                  <c:v>27060</c:v>
                </c:pt>
                <c:pt idx="20">
                  <c:v>27256.8</c:v>
                </c:pt>
                <c:pt idx="21">
                  <c:v>27453.6</c:v>
                </c:pt>
                <c:pt idx="22">
                  <c:v>27650.4</c:v>
                </c:pt>
                <c:pt idx="23">
                  <c:v>27847.2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mmm/yy" sourceLinked="0"/>
        <c:tickLblPos val="low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8</xdr:col>
      <xdr:colOff>781050</xdr:colOff>
      <xdr:row>57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93</xdr:row>
      <xdr:rowOff>0</xdr:rowOff>
    </xdr:from>
    <xdr:to>
      <xdr:col>8</xdr:col>
      <xdr:colOff>781050</xdr:colOff>
      <xdr:row>107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8</xdr:col>
      <xdr:colOff>781050</xdr:colOff>
      <xdr:row>57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93</xdr:row>
      <xdr:rowOff>0</xdr:rowOff>
    </xdr:from>
    <xdr:to>
      <xdr:col>8</xdr:col>
      <xdr:colOff>781050</xdr:colOff>
      <xdr:row>107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201016</xdr:colOff>
      <xdr:row>13</xdr:row>
      <xdr:rowOff>175513</xdr:rowOff>
    </xdr:to>
    <xdr:pic>
      <xdr:nvPicPr>
        <xdr:cNvPr id="2" name="Picture 1" descr="grafico_cobertur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11430991" cy="2918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13</xdr:col>
      <xdr:colOff>201016</xdr:colOff>
      <xdr:row>65</xdr:row>
      <xdr:rowOff>175513</xdr:rowOff>
    </xdr:to>
    <xdr:pic>
      <xdr:nvPicPr>
        <xdr:cNvPr id="3" name="Picture 2" descr="grafico_cobertur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15800"/>
          <a:ext cx="11430991" cy="2918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1" max="1" width="24.7109375" style="1" customWidth="1"/>
    <col min="2" max="2" width="17.7109375" style="2" customWidth="1"/>
    <col min="3" max="3" width="16.7109375" style="2" customWidth="1"/>
    <col min="4" max="7" width="18.7109375" style="3" customWidth="1"/>
    <col min="8" max="8" width="20.7109375" style="4" customWidth="1"/>
    <col min="9" max="9" width="18.7109375" style="4" customWidth="1"/>
    <col min="10" max="11" width="19.7109375" style="4" customWidth="1"/>
    <col min="12" max="12" width="19.7109375" style="2" customWidth="1"/>
    <col min="13" max="13" width="18.7109375" style="3" customWidth="1"/>
    <col min="14" max="14" width="21.7109375" style="2" customWidth="1"/>
    <col min="15" max="15" width="18.7109375" style="2" customWidth="1"/>
    <col min="16" max="16" width="18.7109375" style="3" customWidth="1"/>
    <col min="17" max="17" width="22.7109375" style="2" customWidth="1"/>
    <col min="18" max="18" width="19.7109375" style="2" customWidth="1"/>
    <col min="19" max="20" width="18.7109375" style="3" customWidth="1"/>
    <col min="21" max="22" width="14.7109375" style="4" customWidth="1"/>
    <col min="23" max="23" width="15.7109375" style="4" customWidth="1"/>
    <col min="24" max="25" width="18.7109375" style="3" customWidth="1"/>
  </cols>
  <sheetData>
    <row r="1" spans="1:25">
      <c r="A1" s="5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</row>
    <row r="3" spans="1:25">
      <c r="A3" s="1" t="s">
        <v>25</v>
      </c>
      <c r="B3" s="2" t="s">
        <v>27</v>
      </c>
      <c r="C3" s="2" t="s">
        <v>29</v>
      </c>
      <c r="D3" s="3">
        <v>0.5380228136882129</v>
      </c>
      <c r="E3" s="3">
        <v>0.0926640926640927</v>
      </c>
      <c r="F3" s="3">
        <v>0.0926640926640927</v>
      </c>
      <c r="G3" s="3">
        <v>0</v>
      </c>
      <c r="H3" s="4">
        <v>24</v>
      </c>
      <c r="I3" s="4">
        <v>2</v>
      </c>
      <c r="J3" s="4">
        <v>2</v>
      </c>
      <c r="K3" s="4">
        <v>2</v>
      </c>
      <c r="L3" s="2" t="s">
        <v>30</v>
      </c>
      <c r="M3" s="3">
        <v>0.8200000000000001</v>
      </c>
      <c r="N3" s="2">
        <v>16620</v>
      </c>
      <c r="O3" s="2">
        <v>17340</v>
      </c>
      <c r="P3" s="3">
        <v>0.04332129963898912</v>
      </c>
      <c r="Q3" s="2">
        <v>13628.4</v>
      </c>
      <c r="R3" s="2">
        <v>14218.8</v>
      </c>
      <c r="S3" s="3">
        <v>0.04332129963898912</v>
      </c>
      <c r="T3" s="3">
        <v>0.8200000000000001</v>
      </c>
      <c r="U3" s="4">
        <v>2</v>
      </c>
      <c r="V3" s="4">
        <v>2</v>
      </c>
      <c r="W3" s="4">
        <v>2</v>
      </c>
      <c r="X3" s="3">
        <v>1</v>
      </c>
      <c r="Y3" s="3">
        <v>1</v>
      </c>
    </row>
    <row r="4" spans="1:25">
      <c r="A4" s="1" t="s">
        <v>26</v>
      </c>
      <c r="B4" s="2" t="s">
        <v>28</v>
      </c>
      <c r="C4" s="2" t="s">
        <v>29</v>
      </c>
      <c r="D4" s="3">
        <v>0.4619771863117871</v>
      </c>
      <c r="E4" s="3">
        <v>0.1095890410958904</v>
      </c>
      <c r="F4" s="3">
        <v>0.1095890410958906</v>
      </c>
      <c r="G4" s="3">
        <v>2.220446049250313E-16</v>
      </c>
      <c r="H4" s="4">
        <v>24</v>
      </c>
      <c r="I4" s="4">
        <v>2</v>
      </c>
      <c r="J4" s="4">
        <v>2</v>
      </c>
      <c r="K4" s="4">
        <v>2</v>
      </c>
      <c r="L4" s="2" t="s">
        <v>30</v>
      </c>
      <c r="M4" s="3">
        <v>0.8200000000000001</v>
      </c>
      <c r="N4" s="2">
        <v>14220</v>
      </c>
      <c r="O4" s="2">
        <v>14940</v>
      </c>
      <c r="P4" s="3">
        <v>0.05063291139240511</v>
      </c>
      <c r="Q4" s="2">
        <v>11660.4</v>
      </c>
      <c r="R4" s="2">
        <v>12250.8</v>
      </c>
      <c r="S4" s="3">
        <v>0.05063291139240511</v>
      </c>
      <c r="T4" s="3">
        <v>0.8200000000000001</v>
      </c>
      <c r="U4" s="4">
        <v>2</v>
      </c>
      <c r="V4" s="4">
        <v>2</v>
      </c>
      <c r="W4" s="4">
        <v>2</v>
      </c>
      <c r="X4" s="3">
        <v>1</v>
      </c>
      <c r="Y4" s="3">
        <v>1</v>
      </c>
    </row>
  </sheetData>
  <autoFilter ref="A2:Y4"/>
  <mergeCells count="1">
    <mergeCell ref="A1:L1"/>
  </mergeCells>
  <hyperlinks>
    <hyperlink ref="A3" location="'BOLOS_REGULAR'!A1" display="BOLOS_REGULAR"/>
    <hyperlink ref="A4" location="'BISNAGA_REGULAR'!A1" display="BISNAGA_REGULA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N92"/>
  <sheetViews>
    <sheetView workbookViewId="0"/>
  </sheetViews>
  <sheetFormatPr defaultRowHeight="18" customHeight="1"/>
  <cols>
    <col min="1" max="1" width="3.42578125" customWidth="1"/>
    <col min="2" max="7" width="12.42578125" customWidth="1"/>
    <col min="8" max="8" width="16.5703125" customWidth="1"/>
    <col min="9" max="11" width="12.42578125" customWidth="1"/>
    <col min="12" max="13" width="18.7109375" customWidth="1"/>
    <col min="14" max="17" width="11.7109375" customWidth="1"/>
  </cols>
  <sheetData>
    <row r="1" spans="2:12" ht="18" customHeight="1">
      <c r="B1" s="7" t="s">
        <v>33</v>
      </c>
      <c r="C1" s="7"/>
      <c r="D1" s="7"/>
      <c r="E1" s="8" t="s">
        <v>1</v>
      </c>
      <c r="G1" s="8" t="s">
        <v>34</v>
      </c>
      <c r="L1" s="9" t="s">
        <v>32</v>
      </c>
    </row>
    <row r="2" spans="2:12" ht="18" customHeight="1">
      <c r="B2" s="7"/>
      <c r="C2" s="7"/>
      <c r="D2" s="7"/>
      <c r="E2" s="10" t="s">
        <v>28</v>
      </c>
      <c r="G2" s="10" t="s">
        <v>35</v>
      </c>
    </row>
    <row r="6" spans="2:12" ht="18" customHeight="1">
      <c r="B6" s="6" t="s">
        <v>36</v>
      </c>
      <c r="C6" s="6" t="s">
        <v>37</v>
      </c>
      <c r="D6" s="6"/>
      <c r="E6" s="6"/>
      <c r="F6" s="6"/>
      <c r="H6" s="6" t="s">
        <v>44</v>
      </c>
      <c r="I6" s="6"/>
      <c r="J6" s="6"/>
      <c r="K6" s="6"/>
    </row>
    <row r="7" spans="2:12" ht="18" customHeight="1">
      <c r="B7" s="6" t="s">
        <v>38</v>
      </c>
      <c r="C7" s="2"/>
      <c r="D7" s="6" t="s">
        <v>39</v>
      </c>
      <c r="E7" s="6" t="s">
        <v>40</v>
      </c>
      <c r="F7" s="6" t="s">
        <v>41</v>
      </c>
      <c r="H7" s="2"/>
      <c r="I7" s="6" t="s">
        <v>45</v>
      </c>
      <c r="J7" s="6" t="s">
        <v>46</v>
      </c>
      <c r="K7" s="6" t="s">
        <v>41</v>
      </c>
    </row>
    <row r="8" spans="2:12" ht="18" customHeight="1">
      <c r="C8" s="11" t="s">
        <v>42</v>
      </c>
      <c r="D8" s="12">
        <v>26280</v>
      </c>
      <c r="E8" s="12">
        <v>29160</v>
      </c>
      <c r="F8" s="3">
        <v>0.1095890410958904</v>
      </c>
      <c r="H8" s="11" t="s">
        <v>42</v>
      </c>
      <c r="I8" s="12">
        <v>14220</v>
      </c>
      <c r="J8" s="12">
        <v>14940</v>
      </c>
      <c r="K8" s="3">
        <v>0.05063291139240511</v>
      </c>
    </row>
    <row r="9" spans="2:12" ht="18" customHeight="1">
      <c r="C9" s="11" t="s">
        <v>43</v>
      </c>
      <c r="D9" s="12">
        <v>21549.6</v>
      </c>
      <c r="E9" s="12">
        <v>23911.2</v>
      </c>
      <c r="F9" s="3">
        <v>0.1095890410958906</v>
      </c>
      <c r="H9" s="11" t="s">
        <v>43</v>
      </c>
      <c r="I9" s="12">
        <v>11660.4</v>
      </c>
      <c r="J9" s="12">
        <v>12250.8</v>
      </c>
      <c r="K9" s="3">
        <v>0.05063291139240511</v>
      </c>
    </row>
    <row r="12" spans="2:12" ht="18" customHeight="1">
      <c r="B12" s="6" t="s">
        <v>47</v>
      </c>
      <c r="C12" s="6"/>
      <c r="D12" s="6"/>
      <c r="H12" s="6" t="s">
        <v>50</v>
      </c>
      <c r="I12" s="6"/>
      <c r="J12" s="6"/>
      <c r="K12" s="6"/>
    </row>
    <row r="13" spans="2:12" ht="18" customHeight="1">
      <c r="C13" s="6" t="s">
        <v>48</v>
      </c>
      <c r="D13" s="6" t="s">
        <v>49</v>
      </c>
      <c r="I13" s="6" t="s">
        <v>51</v>
      </c>
      <c r="J13" s="6" t="s">
        <v>52</v>
      </c>
      <c r="K13" s="6" t="s">
        <v>41</v>
      </c>
    </row>
    <row r="14" spans="2:12" ht="18" customHeight="1">
      <c r="B14" s="11" t="s">
        <v>42</v>
      </c>
      <c r="C14" s="13">
        <v>45658</v>
      </c>
      <c r="D14" s="13">
        <v>45992</v>
      </c>
      <c r="H14" s="11" t="s">
        <v>42</v>
      </c>
      <c r="I14" s="12">
        <v>26280</v>
      </c>
      <c r="J14" s="12">
        <v>29160</v>
      </c>
      <c r="K14" s="3">
        <v>0.1095890410958904</v>
      </c>
    </row>
    <row r="15" spans="2:12" ht="18" customHeight="1">
      <c r="B15" s="11" t="s">
        <v>43</v>
      </c>
      <c r="C15" s="13">
        <v>45658</v>
      </c>
      <c r="D15" s="13">
        <v>45992</v>
      </c>
      <c r="H15" s="11" t="s">
        <v>43</v>
      </c>
      <c r="I15" s="12">
        <v>21549.6</v>
      </c>
      <c r="J15" s="12">
        <v>23911.2</v>
      </c>
      <c r="K15" s="3">
        <v>0.1095890410958906</v>
      </c>
    </row>
    <row r="18" spans="2:14" ht="18" customHeight="1">
      <c r="B18" s="6" t="s">
        <v>53</v>
      </c>
      <c r="C18" s="6" t="s">
        <v>54</v>
      </c>
      <c r="D18" s="6" t="s">
        <v>55</v>
      </c>
      <c r="E18" s="6" t="s">
        <v>56</v>
      </c>
      <c r="I18" s="6" t="s">
        <v>57</v>
      </c>
      <c r="J18" s="6" t="s">
        <v>58</v>
      </c>
      <c r="K18" s="6" t="s">
        <v>59</v>
      </c>
      <c r="L18" s="6" t="s">
        <v>56</v>
      </c>
      <c r="M18" s="6" t="s">
        <v>3</v>
      </c>
      <c r="N18" s="6" t="s">
        <v>60</v>
      </c>
    </row>
    <row r="19" spans="2:14" ht="18" customHeight="1">
      <c r="B19" s="13">
        <v>45292</v>
      </c>
      <c r="C19" s="12">
        <v>2080</v>
      </c>
      <c r="D19" s="12">
        <v>1705.6</v>
      </c>
      <c r="E19" s="3"/>
      <c r="I19" s="14" t="s">
        <v>61</v>
      </c>
      <c r="J19" s="12">
        <v>0</v>
      </c>
      <c r="K19" s="12">
        <v>0</v>
      </c>
      <c r="L19" s="3"/>
      <c r="M19" s="3">
        <v>0</v>
      </c>
      <c r="N19" s="3">
        <v>0</v>
      </c>
    </row>
    <row r="20" spans="2:14" ht="18" customHeight="1">
      <c r="B20" s="13">
        <v>45323</v>
      </c>
      <c r="C20" s="12">
        <v>2100</v>
      </c>
      <c r="D20" s="12">
        <v>1722</v>
      </c>
      <c r="E20" s="3"/>
      <c r="I20" s="14" t="s">
        <v>62</v>
      </c>
      <c r="J20" s="12">
        <v>0</v>
      </c>
      <c r="K20" s="12">
        <v>0</v>
      </c>
      <c r="L20" s="3"/>
      <c r="M20" s="3">
        <v>0</v>
      </c>
      <c r="N20" s="3">
        <v>0</v>
      </c>
    </row>
    <row r="21" spans="2:14" ht="18" customHeight="1">
      <c r="B21" s="13">
        <v>45352</v>
      </c>
      <c r="C21" s="12">
        <v>2120</v>
      </c>
      <c r="D21" s="12">
        <v>1738.4</v>
      </c>
      <c r="E21" s="3"/>
      <c r="I21" s="14" t="s">
        <v>63</v>
      </c>
      <c r="J21" s="12">
        <v>0</v>
      </c>
      <c r="K21" s="12">
        <v>0</v>
      </c>
      <c r="L21" s="3"/>
      <c r="M21" s="3">
        <v>0</v>
      </c>
      <c r="N21" s="3">
        <v>0</v>
      </c>
    </row>
    <row r="22" spans="2:14" ht="18" customHeight="1">
      <c r="B22" s="13">
        <v>45383</v>
      </c>
      <c r="C22" s="12">
        <v>2140</v>
      </c>
      <c r="D22" s="12">
        <v>1754.8</v>
      </c>
      <c r="E22" s="3"/>
      <c r="I22" s="14" t="s">
        <v>64</v>
      </c>
      <c r="J22" s="12">
        <v>0</v>
      </c>
      <c r="K22" s="12">
        <v>0</v>
      </c>
      <c r="L22" s="3"/>
      <c r="M22" s="3">
        <v>0</v>
      </c>
      <c r="N22" s="3">
        <v>0</v>
      </c>
    </row>
    <row r="23" spans="2:14" ht="18" customHeight="1">
      <c r="B23" s="13">
        <v>45413</v>
      </c>
      <c r="C23" s="12">
        <v>2160</v>
      </c>
      <c r="D23" s="12">
        <v>1771.2</v>
      </c>
      <c r="E23" s="3"/>
      <c r="I23" s="14" t="s">
        <v>65</v>
      </c>
      <c r="J23" s="12">
        <v>0</v>
      </c>
      <c r="K23" s="12">
        <v>0</v>
      </c>
      <c r="L23" s="3"/>
      <c r="M23" s="3">
        <v>0</v>
      </c>
      <c r="N23" s="3">
        <v>0</v>
      </c>
    </row>
    <row r="24" spans="2:14" ht="18" customHeight="1">
      <c r="B24" s="13">
        <v>45444</v>
      </c>
      <c r="C24" s="12">
        <v>2180</v>
      </c>
      <c r="D24" s="12">
        <v>1787.6</v>
      </c>
      <c r="E24" s="3"/>
      <c r="I24" s="14" t="s">
        <v>66</v>
      </c>
      <c r="J24" s="12">
        <v>0</v>
      </c>
      <c r="K24" s="12">
        <v>0</v>
      </c>
      <c r="L24" s="3"/>
      <c r="M24" s="3">
        <v>0</v>
      </c>
      <c r="N24" s="3">
        <v>0</v>
      </c>
    </row>
    <row r="25" spans="2:14" ht="18" customHeight="1">
      <c r="B25" s="13">
        <v>45474</v>
      </c>
      <c r="C25" s="12">
        <v>2200</v>
      </c>
      <c r="D25" s="12">
        <v>1804</v>
      </c>
      <c r="E25" s="3"/>
      <c r="I25" s="14" t="s">
        <v>67</v>
      </c>
      <c r="J25" s="12">
        <v>0</v>
      </c>
      <c r="K25" s="12">
        <v>0</v>
      </c>
      <c r="L25" s="3"/>
      <c r="M25" s="3">
        <v>0</v>
      </c>
      <c r="N25" s="3">
        <v>0</v>
      </c>
    </row>
    <row r="26" spans="2:14" ht="18" customHeight="1">
      <c r="B26" s="13">
        <v>45505</v>
      </c>
      <c r="C26" s="12">
        <v>2220</v>
      </c>
      <c r="D26" s="12">
        <v>1820.4</v>
      </c>
      <c r="E26" s="3"/>
      <c r="I26" s="14" t="s">
        <v>68</v>
      </c>
      <c r="J26" s="12">
        <v>0</v>
      </c>
      <c r="K26" s="12">
        <v>0</v>
      </c>
      <c r="L26" s="3"/>
      <c r="M26" s="3">
        <v>0</v>
      </c>
      <c r="N26" s="3">
        <v>0</v>
      </c>
    </row>
    <row r="27" spans="2:14" ht="18" customHeight="1">
      <c r="B27" s="13">
        <v>45536</v>
      </c>
      <c r="C27" s="12">
        <v>2240</v>
      </c>
      <c r="D27" s="12">
        <v>1836.8</v>
      </c>
      <c r="E27" s="3"/>
      <c r="I27" s="14" t="s">
        <v>69</v>
      </c>
      <c r="J27" s="12">
        <v>0</v>
      </c>
      <c r="K27" s="12">
        <v>0</v>
      </c>
      <c r="L27" s="3"/>
      <c r="M27" s="3">
        <v>0</v>
      </c>
      <c r="N27" s="3">
        <v>0</v>
      </c>
    </row>
    <row r="28" spans="2:14" ht="18" customHeight="1">
      <c r="B28" s="13">
        <v>45566</v>
      </c>
      <c r="C28" s="12">
        <v>2260</v>
      </c>
      <c r="D28" s="12">
        <v>1853.2</v>
      </c>
      <c r="E28" s="3"/>
      <c r="I28" s="14" t="s">
        <v>70</v>
      </c>
      <c r="J28" s="12">
        <v>0</v>
      </c>
      <c r="K28" s="12">
        <v>0</v>
      </c>
      <c r="L28" s="3"/>
      <c r="M28" s="3">
        <v>0</v>
      </c>
      <c r="N28" s="3">
        <v>0</v>
      </c>
    </row>
    <row r="29" spans="2:14" ht="18" customHeight="1">
      <c r="B29" s="13">
        <v>45597</v>
      </c>
      <c r="C29" s="12">
        <v>2280</v>
      </c>
      <c r="D29" s="12">
        <v>1869.6</v>
      </c>
      <c r="E29" s="3"/>
      <c r="I29" s="14" t="s">
        <v>71</v>
      </c>
      <c r="J29" s="12">
        <v>0</v>
      </c>
      <c r="K29" s="12">
        <v>0</v>
      </c>
      <c r="L29" s="3"/>
      <c r="M29" s="3">
        <v>0</v>
      </c>
      <c r="N29" s="3">
        <v>0</v>
      </c>
    </row>
    <row r="30" spans="2:14" ht="18" customHeight="1">
      <c r="B30" s="13">
        <v>45627</v>
      </c>
      <c r="C30" s="12">
        <v>2300</v>
      </c>
      <c r="D30" s="12">
        <v>1886</v>
      </c>
      <c r="E30" s="3">
        <f>IFERROR(SUM(D19:D30)/SUM(C19:C30),"")</f>
        <v>0.82</v>
      </c>
      <c r="I30" s="14" t="s">
        <v>72</v>
      </c>
      <c r="J30" s="12">
        <v>0</v>
      </c>
      <c r="K30" s="12">
        <v>0</v>
      </c>
      <c r="L30" s="3"/>
      <c r="M30" s="3">
        <v>0</v>
      </c>
      <c r="N30" s="3">
        <v>0</v>
      </c>
    </row>
    <row r="31" spans="2:14" ht="18" customHeight="1">
      <c r="B31" s="13">
        <v>45658</v>
      </c>
      <c r="C31" s="12">
        <v>2320</v>
      </c>
      <c r="D31" s="12">
        <v>1902.4</v>
      </c>
      <c r="E31" s="3">
        <f>IFERROR(SUM(D20:D31)/SUM(C20:C31),"")</f>
        <v>0.8200000000000001</v>
      </c>
      <c r="I31" s="14" t="s">
        <v>73</v>
      </c>
      <c r="J31" s="12">
        <v>0</v>
      </c>
      <c r="K31" s="12">
        <v>0</v>
      </c>
      <c r="L31" s="3"/>
      <c r="M31" s="3">
        <v>0</v>
      </c>
      <c r="N31" s="3">
        <v>0</v>
      </c>
    </row>
    <row r="32" spans="2:14" ht="18" customHeight="1">
      <c r="B32" s="13">
        <v>45689</v>
      </c>
      <c r="C32" s="12">
        <v>2340</v>
      </c>
      <c r="D32" s="12">
        <v>1918.8</v>
      </c>
      <c r="E32" s="3">
        <f>IFERROR(SUM(D21:D32)/SUM(C21:C32),"")</f>
        <v>0.8200000000000001</v>
      </c>
      <c r="I32" s="14" t="s">
        <v>74</v>
      </c>
      <c r="J32" s="12">
        <v>0</v>
      </c>
      <c r="K32" s="12">
        <v>0</v>
      </c>
      <c r="L32" s="3"/>
      <c r="M32" s="3">
        <v>0</v>
      </c>
      <c r="N32" s="3">
        <v>0</v>
      </c>
    </row>
    <row r="33" spans="2:14" ht="18" customHeight="1">
      <c r="B33" s="13">
        <v>45717</v>
      </c>
      <c r="C33" s="12">
        <v>2360</v>
      </c>
      <c r="D33" s="12">
        <v>1935.2</v>
      </c>
      <c r="E33" s="3">
        <f>IFERROR(SUM(D22:D33)/SUM(C22:C33),"")</f>
        <v>0.82</v>
      </c>
      <c r="I33" s="14" t="s">
        <v>75</v>
      </c>
      <c r="J33" s="12">
        <v>0</v>
      </c>
      <c r="K33" s="12">
        <v>0</v>
      </c>
      <c r="L33" s="3"/>
      <c r="M33" s="3">
        <v>0</v>
      </c>
      <c r="N33" s="3">
        <v>0</v>
      </c>
    </row>
    <row r="34" spans="2:14" ht="18" customHeight="1">
      <c r="B34" s="13">
        <v>45748</v>
      </c>
      <c r="C34" s="12">
        <v>2380</v>
      </c>
      <c r="D34" s="12">
        <v>1951.6</v>
      </c>
      <c r="E34" s="3">
        <f>IFERROR(SUM(D23:D34)/SUM(C23:C34),"")</f>
        <v>0.82</v>
      </c>
      <c r="I34" s="14" t="s">
        <v>76</v>
      </c>
      <c r="J34" s="12">
        <v>0</v>
      </c>
      <c r="K34" s="12">
        <v>0</v>
      </c>
      <c r="L34" s="3"/>
      <c r="M34" s="3">
        <v>0</v>
      </c>
      <c r="N34" s="3">
        <v>0</v>
      </c>
    </row>
    <row r="35" spans="2:14" ht="18" customHeight="1">
      <c r="B35" s="13">
        <v>45778</v>
      </c>
      <c r="C35" s="12">
        <v>2400</v>
      </c>
      <c r="D35" s="12">
        <v>1968</v>
      </c>
      <c r="E35" s="3">
        <f>IFERROR(SUM(D24:D35)/SUM(C24:C35),"")</f>
        <v>0.82</v>
      </c>
      <c r="I35" s="14" t="s">
        <v>77</v>
      </c>
      <c r="J35" s="12">
        <v>0</v>
      </c>
      <c r="K35" s="12">
        <v>0</v>
      </c>
      <c r="L35" s="3"/>
      <c r="M35" s="3">
        <v>0</v>
      </c>
      <c r="N35" s="3">
        <v>0</v>
      </c>
    </row>
    <row r="36" spans="2:14" ht="18" customHeight="1">
      <c r="B36" s="13">
        <v>45809</v>
      </c>
      <c r="C36" s="12">
        <v>2420</v>
      </c>
      <c r="D36" s="12">
        <v>1984.4</v>
      </c>
      <c r="E36" s="3">
        <f>IFERROR(SUM(D25:D36)/SUM(C25:C36),"")</f>
        <v>0.8200000000000001</v>
      </c>
      <c r="I36" s="14" t="s">
        <v>78</v>
      </c>
      <c r="J36" s="12">
        <v>0</v>
      </c>
      <c r="K36" s="12">
        <v>0</v>
      </c>
      <c r="L36" s="3"/>
      <c r="M36" s="3">
        <v>0</v>
      </c>
      <c r="N36" s="3">
        <v>0</v>
      </c>
    </row>
    <row r="37" spans="2:14" ht="18" customHeight="1">
      <c r="B37" s="13">
        <v>45839</v>
      </c>
      <c r="C37" s="12">
        <v>2440</v>
      </c>
      <c r="D37" s="12">
        <v>2000.8</v>
      </c>
      <c r="E37" s="3">
        <f>IFERROR(SUM(D26:D37)/SUM(C26:C37),"")</f>
        <v>0.8200000000000001</v>
      </c>
      <c r="I37" s="14" t="s">
        <v>79</v>
      </c>
      <c r="J37" s="12">
        <v>29160</v>
      </c>
      <c r="K37" s="12">
        <v>23911.2</v>
      </c>
      <c r="L37" s="3">
        <v>0.8200000000000001</v>
      </c>
      <c r="M37" s="3">
        <v>1</v>
      </c>
      <c r="N37" s="3">
        <v>1</v>
      </c>
    </row>
    <row r="38" spans="2:14" ht="18" customHeight="1">
      <c r="B38" s="13">
        <v>45870</v>
      </c>
      <c r="C38" s="12">
        <v>2460</v>
      </c>
      <c r="D38" s="12">
        <v>2017.2</v>
      </c>
      <c r="E38" s="3">
        <f>IFERROR(SUM(D27:D38)/SUM(C27:C38),"")</f>
        <v>0.82</v>
      </c>
      <c r="I38" s="14" t="s">
        <v>80</v>
      </c>
      <c r="J38" s="12">
        <v>0</v>
      </c>
      <c r="K38" s="12">
        <v>0</v>
      </c>
      <c r="L38" s="3"/>
      <c r="M38" s="3">
        <v>0</v>
      </c>
      <c r="N38" s="3">
        <v>0</v>
      </c>
    </row>
    <row r="39" spans="2:14" ht="18" customHeight="1">
      <c r="B39" s="13">
        <v>45901</v>
      </c>
      <c r="C39" s="12">
        <v>2480</v>
      </c>
      <c r="D39" s="12">
        <v>2033.6</v>
      </c>
      <c r="E39" s="3">
        <f>IFERROR(SUM(D28:D39)/SUM(C28:C39),"")</f>
        <v>0.82</v>
      </c>
      <c r="I39" s="14" t="s">
        <v>81</v>
      </c>
      <c r="J39" s="12">
        <f>SUM(J19:J38)</f>
        <v>29160.0</v>
      </c>
      <c r="K39" s="12">
        <f>SUM(K19:K38)</f>
        <v>23911.2</v>
      </c>
      <c r="L39" s="3">
        <f>IFERROR(K39/J39,"")</f>
        <v>0.8200000000000001</v>
      </c>
      <c r="M39" s="3">
        <v>1</v>
      </c>
      <c r="N39" s="3">
        <v>1</v>
      </c>
    </row>
    <row r="40" spans="2:14" ht="18" customHeight="1">
      <c r="B40" s="13">
        <v>45931</v>
      </c>
      <c r="C40" s="12">
        <v>2500</v>
      </c>
      <c r="D40" s="12">
        <v>2050</v>
      </c>
      <c r="E40" s="3">
        <f>IFERROR(SUM(D29:D40)/SUM(C29:C40),"")</f>
        <v>0.82</v>
      </c>
    </row>
    <row r="41" spans="2:14" ht="18" customHeight="1">
      <c r="B41" s="13">
        <v>45962</v>
      </c>
      <c r="C41" s="12">
        <v>2520</v>
      </c>
      <c r="D41" s="12">
        <v>2066.4</v>
      </c>
      <c r="E41" s="3">
        <f>IFERROR(SUM(D30:D41)/SUM(C30:C41),"")</f>
        <v>0.8200000000000001</v>
      </c>
    </row>
    <row r="42" spans="2:14" ht="18" customHeight="1">
      <c r="B42" s="13">
        <v>45992</v>
      </c>
      <c r="C42" s="12">
        <v>2540</v>
      </c>
      <c r="D42" s="12">
        <v>2082.8</v>
      </c>
      <c r="E42" s="3">
        <f>IFERROR(SUM(D31:D42)/SUM(C31:C42),"")</f>
        <v>0.8200000000000001</v>
      </c>
    </row>
    <row r="62" spans="2:5" ht="18" customHeight="1">
      <c r="B62" s="6" t="s">
        <v>82</v>
      </c>
      <c r="C62" s="6"/>
      <c r="D62" s="6"/>
      <c r="E62" s="6"/>
    </row>
    <row r="63" spans="2:5" ht="18" customHeight="1">
      <c r="B63" s="6" t="s">
        <v>53</v>
      </c>
      <c r="C63" s="6" t="s">
        <v>54</v>
      </c>
      <c r="D63" s="6" t="s">
        <v>55</v>
      </c>
      <c r="E63" s="6" t="s">
        <v>56</v>
      </c>
    </row>
    <row r="64" spans="2:5" ht="18" customHeight="1">
      <c r="B64" s="13">
        <v>45292</v>
      </c>
      <c r="C64" s="12"/>
      <c r="D64" s="12"/>
      <c r="E64" s="3"/>
    </row>
    <row r="65" spans="2:5" ht="18" customHeight="1">
      <c r="B65" s="13">
        <v>45323</v>
      </c>
      <c r="C65" s="12"/>
      <c r="D65" s="12"/>
      <c r="E65" s="3"/>
    </row>
    <row r="66" spans="2:5" ht="18" customHeight="1">
      <c r="B66" s="13">
        <v>45352</v>
      </c>
      <c r="C66" s="12"/>
      <c r="D66" s="12"/>
      <c r="E66" s="3"/>
    </row>
    <row r="67" spans="2:5" ht="18" customHeight="1">
      <c r="B67" s="13">
        <v>45383</v>
      </c>
      <c r="C67" s="12"/>
      <c r="D67" s="12"/>
      <c r="E67" s="3"/>
    </row>
    <row r="68" spans="2:5" ht="18" customHeight="1">
      <c r="B68" s="13">
        <v>45413</v>
      </c>
      <c r="C68" s="12"/>
      <c r="D68" s="12"/>
      <c r="E68" s="3"/>
    </row>
    <row r="69" spans="2:5" ht="18" customHeight="1">
      <c r="B69" s="13">
        <v>45444</v>
      </c>
      <c r="C69" s="12"/>
      <c r="D69" s="12"/>
      <c r="E69" s="3"/>
    </row>
    <row r="70" spans="2:5" ht="18" customHeight="1">
      <c r="B70" s="13">
        <v>45474</v>
      </c>
      <c r="C70" s="12"/>
      <c r="D70" s="12"/>
      <c r="E70" s="3"/>
    </row>
    <row r="71" spans="2:5" ht="18" customHeight="1">
      <c r="B71" s="13">
        <v>45505</v>
      </c>
      <c r="C71" s="12"/>
      <c r="D71" s="12"/>
      <c r="E71" s="3"/>
    </row>
    <row r="72" spans="2:5" ht="18" customHeight="1">
      <c r="B72" s="13">
        <v>45536</v>
      </c>
      <c r="C72" s="12"/>
      <c r="D72" s="12"/>
      <c r="E72" s="3"/>
    </row>
    <row r="73" spans="2:5" ht="18" customHeight="1">
      <c r="B73" s="13">
        <v>45566</v>
      </c>
      <c r="C73" s="12"/>
      <c r="D73" s="12"/>
      <c r="E73" s="3"/>
    </row>
    <row r="74" spans="2:5" ht="18" customHeight="1">
      <c r="B74" s="13">
        <v>45597</v>
      </c>
      <c r="C74" s="12"/>
      <c r="D74" s="12"/>
      <c r="E74" s="3"/>
    </row>
    <row r="75" spans="2:5" ht="18" customHeight="1">
      <c r="B75" s="13">
        <v>45627</v>
      </c>
      <c r="C75" s="12">
        <v>26280</v>
      </c>
      <c r="D75" s="12">
        <v>21549.6</v>
      </c>
      <c r="E75" s="3">
        <f>IFERROR(SUM(D64:D75)/SUM(C64:C75),"")</f>
        <v>0.82</v>
      </c>
    </row>
    <row r="76" spans="2:5" ht="18" customHeight="1">
      <c r="B76" s="13">
        <v>45658</v>
      </c>
      <c r="C76" s="12">
        <v>26520</v>
      </c>
      <c r="D76" s="12">
        <v>21746.4</v>
      </c>
      <c r="E76" s="3">
        <f>IFERROR(SUM(D65:D76)/SUM(C65:C76),"")</f>
        <v>0.8200000000000001</v>
      </c>
    </row>
    <row r="77" spans="2:5" ht="18" customHeight="1">
      <c r="B77" s="13">
        <v>45689</v>
      </c>
      <c r="C77" s="12">
        <v>26760</v>
      </c>
      <c r="D77" s="12">
        <v>21943.2</v>
      </c>
      <c r="E77" s="3">
        <f>IFERROR(SUM(D66:D77)/SUM(C66:C77),"")</f>
        <v>0.8200000000000001</v>
      </c>
    </row>
    <row r="78" spans="2:5" ht="18" customHeight="1">
      <c r="B78" s="13">
        <v>45717</v>
      </c>
      <c r="C78" s="12">
        <v>27000</v>
      </c>
      <c r="D78" s="12">
        <v>22140</v>
      </c>
      <c r="E78" s="3">
        <f>IFERROR(SUM(D67:D78)/SUM(C67:C78),"")</f>
        <v>0.82</v>
      </c>
    </row>
    <row r="79" spans="2:5" ht="18" customHeight="1">
      <c r="B79" s="13">
        <v>45748</v>
      </c>
      <c r="C79" s="12">
        <v>27240</v>
      </c>
      <c r="D79" s="12">
        <v>22336.8</v>
      </c>
      <c r="E79" s="3">
        <f>IFERROR(SUM(D68:D79)/SUM(C68:C79),"")</f>
        <v>0.82</v>
      </c>
    </row>
    <row r="80" spans="2:5" ht="18" customHeight="1">
      <c r="B80" s="13">
        <v>45778</v>
      </c>
      <c r="C80" s="12">
        <v>27480</v>
      </c>
      <c r="D80" s="12">
        <v>22533.6</v>
      </c>
      <c r="E80" s="3">
        <f>IFERROR(SUM(D69:D80)/SUM(C69:C80),"")</f>
        <v>0.82</v>
      </c>
    </row>
    <row r="81" spans="2:8" ht="18" customHeight="1">
      <c r="B81" s="13">
        <v>45809</v>
      </c>
      <c r="C81" s="12">
        <v>27720</v>
      </c>
      <c r="D81" s="12">
        <v>22730.4</v>
      </c>
      <c r="E81" s="3">
        <f>IFERROR(SUM(D70:D81)/SUM(C70:C81),"")</f>
        <v>0.8200000000000001</v>
      </c>
    </row>
    <row r="82" spans="2:8" ht="18" customHeight="1">
      <c r="B82" s="13">
        <v>45839</v>
      </c>
      <c r="C82" s="12">
        <v>27960</v>
      </c>
      <c r="D82" s="12">
        <v>22927.2</v>
      </c>
      <c r="E82" s="3">
        <f>IFERROR(SUM(D71:D82)/SUM(C71:C82),"")</f>
        <v>0.8200000000000001</v>
      </c>
    </row>
    <row r="83" spans="2:8" ht="18" customHeight="1">
      <c r="B83" s="13">
        <v>45870</v>
      </c>
      <c r="C83" s="12">
        <v>28200</v>
      </c>
      <c r="D83" s="12">
        <v>23124</v>
      </c>
      <c r="E83" s="3">
        <f>IFERROR(SUM(D72:D83)/SUM(C72:C83),"")</f>
        <v>0.82</v>
      </c>
    </row>
    <row r="84" spans="2:8" ht="18" customHeight="1">
      <c r="B84" s="13">
        <v>45901</v>
      </c>
      <c r="C84" s="12">
        <v>28440</v>
      </c>
      <c r="D84" s="12">
        <v>23320.8</v>
      </c>
      <c r="E84" s="3">
        <f>IFERROR(SUM(D73:D84)/SUM(C73:C84),"")</f>
        <v>0.82</v>
      </c>
    </row>
    <row r="85" spans="2:8" ht="18" customHeight="1">
      <c r="B85" s="13">
        <v>45931</v>
      </c>
      <c r="C85" s="12">
        <v>28680</v>
      </c>
      <c r="D85" s="12">
        <v>23517.6</v>
      </c>
      <c r="E85" s="3">
        <f>IFERROR(SUM(D74:D85)/SUM(C74:C85),"")</f>
        <v>0.82</v>
      </c>
    </row>
    <row r="86" spans="2:8" ht="18" customHeight="1">
      <c r="B86" s="13">
        <v>45962</v>
      </c>
      <c r="C86" s="12">
        <v>28920</v>
      </c>
      <c r="D86" s="12">
        <v>23714.4</v>
      </c>
      <c r="E86" s="3">
        <f>IFERROR(SUM(D75:D86)/SUM(C75:C86),"")</f>
        <v>0.8200000000000001</v>
      </c>
    </row>
    <row r="87" spans="2:8" ht="18" customHeight="1">
      <c r="B87" s="13">
        <v>45992</v>
      </c>
      <c r="C87" s="12">
        <v>29160</v>
      </c>
      <c r="D87" s="12">
        <v>23911.2</v>
      </c>
      <c r="E87" s="3">
        <f>IFERROR(SUM(D76:D87)/SUM(C76:C87),"")</f>
        <v>0.8200000000000001</v>
      </c>
    </row>
    <row r="90" spans="2:8" ht="18" customHeight="1">
      <c r="B90" s="6" t="s">
        <v>83</v>
      </c>
      <c r="C90" s="6"/>
      <c r="D90" s="6"/>
      <c r="E90" s="6"/>
      <c r="F90" s="6"/>
      <c r="G90" s="6"/>
      <c r="H90" s="6"/>
    </row>
    <row r="91" spans="2:8" ht="18" customHeight="1">
      <c r="B91" s="6" t="s">
        <v>84</v>
      </c>
      <c r="C91" s="6" t="s">
        <v>85</v>
      </c>
      <c r="D91" s="6" t="s">
        <v>54</v>
      </c>
      <c r="E91" s="6" t="s">
        <v>55</v>
      </c>
      <c r="F91" s="6" t="s">
        <v>86</v>
      </c>
      <c r="G91" s="6" t="s">
        <v>87</v>
      </c>
      <c r="H91" s="6" t="s">
        <v>34</v>
      </c>
    </row>
    <row r="92" spans="2:8" ht="18" customHeight="1">
      <c r="B92" s="11" t="s">
        <v>88</v>
      </c>
      <c r="C92" s="11"/>
      <c r="D92" s="11"/>
      <c r="E92" s="11"/>
      <c r="F92" s="11"/>
      <c r="G92" s="11"/>
      <c r="H92" s="11"/>
    </row>
  </sheetData>
  <mergeCells count="8">
    <mergeCell ref="B1:D2"/>
    <mergeCell ref="C6:F6"/>
    <mergeCell ref="H6:K6"/>
    <mergeCell ref="B12:D12"/>
    <mergeCell ref="H12:K12"/>
    <mergeCell ref="B62:E62"/>
    <mergeCell ref="B90:H90"/>
    <mergeCell ref="B92:H92"/>
  </mergeCells>
  <hyperlinks>
    <hyperlink ref="L1" location="'Resumo Categorias'!A1" display="Voltar ao Resumo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N92"/>
  <sheetViews>
    <sheetView workbookViewId="0"/>
  </sheetViews>
  <sheetFormatPr defaultRowHeight="18" customHeight="1"/>
  <cols>
    <col min="1" max="1" width="3.42578125" customWidth="1"/>
    <col min="2" max="7" width="12.42578125" customWidth="1"/>
    <col min="8" max="8" width="16.5703125" customWidth="1"/>
    <col min="9" max="11" width="12.42578125" customWidth="1"/>
    <col min="12" max="13" width="18.7109375" customWidth="1"/>
    <col min="14" max="17" width="11.7109375" customWidth="1"/>
  </cols>
  <sheetData>
    <row r="1" spans="2:12" ht="18" customHeight="1">
      <c r="B1" s="7" t="s">
        <v>33</v>
      </c>
      <c r="C1" s="7"/>
      <c r="D1" s="7"/>
      <c r="E1" s="8" t="s">
        <v>1</v>
      </c>
      <c r="G1" s="8" t="s">
        <v>34</v>
      </c>
      <c r="L1" s="9" t="s">
        <v>32</v>
      </c>
    </row>
    <row r="2" spans="2:12" ht="18" customHeight="1">
      <c r="B2" s="7"/>
      <c r="C2" s="7"/>
      <c r="D2" s="7"/>
      <c r="E2" s="10" t="s">
        <v>27</v>
      </c>
      <c r="G2" s="10" t="s">
        <v>35</v>
      </c>
    </row>
    <row r="6" spans="2:12" ht="18" customHeight="1">
      <c r="B6" s="6" t="s">
        <v>36</v>
      </c>
      <c r="C6" s="6" t="s">
        <v>37</v>
      </c>
      <c r="D6" s="6"/>
      <c r="E6" s="6"/>
      <c r="F6" s="6"/>
      <c r="H6" s="6" t="s">
        <v>44</v>
      </c>
      <c r="I6" s="6"/>
      <c r="J6" s="6"/>
      <c r="K6" s="6"/>
    </row>
    <row r="7" spans="2:12" ht="18" customHeight="1">
      <c r="B7" s="6" t="s">
        <v>38</v>
      </c>
      <c r="C7" s="2"/>
      <c r="D7" s="6" t="s">
        <v>39</v>
      </c>
      <c r="E7" s="6" t="s">
        <v>40</v>
      </c>
      <c r="F7" s="6" t="s">
        <v>41</v>
      </c>
      <c r="H7" s="2"/>
      <c r="I7" s="6" t="s">
        <v>45</v>
      </c>
      <c r="J7" s="6" t="s">
        <v>46</v>
      </c>
      <c r="K7" s="6" t="s">
        <v>41</v>
      </c>
    </row>
    <row r="8" spans="2:12" ht="18" customHeight="1">
      <c r="C8" s="11" t="s">
        <v>42</v>
      </c>
      <c r="D8" s="12">
        <v>31080</v>
      </c>
      <c r="E8" s="12">
        <v>33960</v>
      </c>
      <c r="F8" s="3">
        <v>0.0926640926640927</v>
      </c>
      <c r="H8" s="11" t="s">
        <v>42</v>
      </c>
      <c r="I8" s="12">
        <v>16620</v>
      </c>
      <c r="J8" s="12">
        <v>17340</v>
      </c>
      <c r="K8" s="3">
        <v>0.04332129963898912</v>
      </c>
    </row>
    <row r="9" spans="2:12" ht="18" customHeight="1">
      <c r="C9" s="11" t="s">
        <v>43</v>
      </c>
      <c r="D9" s="12">
        <v>25485.6</v>
      </c>
      <c r="E9" s="12">
        <v>27847.2</v>
      </c>
      <c r="F9" s="3">
        <v>0.0926640926640927</v>
      </c>
      <c r="H9" s="11" t="s">
        <v>43</v>
      </c>
      <c r="I9" s="12">
        <v>13628.4</v>
      </c>
      <c r="J9" s="12">
        <v>14218.8</v>
      </c>
      <c r="K9" s="3">
        <v>0.04332129963898912</v>
      </c>
    </row>
    <row r="12" spans="2:12" ht="18" customHeight="1">
      <c r="B12" s="6" t="s">
        <v>47</v>
      </c>
      <c r="C12" s="6"/>
      <c r="D12" s="6"/>
      <c r="H12" s="6" t="s">
        <v>50</v>
      </c>
      <c r="I12" s="6"/>
      <c r="J12" s="6"/>
      <c r="K12" s="6"/>
    </row>
    <row r="13" spans="2:12" ht="18" customHeight="1">
      <c r="C13" s="6" t="s">
        <v>48</v>
      </c>
      <c r="D13" s="6" t="s">
        <v>49</v>
      </c>
      <c r="I13" s="6" t="s">
        <v>51</v>
      </c>
      <c r="J13" s="6" t="s">
        <v>52</v>
      </c>
      <c r="K13" s="6" t="s">
        <v>41</v>
      </c>
    </row>
    <row r="14" spans="2:12" ht="18" customHeight="1">
      <c r="B14" s="11" t="s">
        <v>42</v>
      </c>
      <c r="C14" s="13">
        <v>45658</v>
      </c>
      <c r="D14" s="13">
        <v>45992</v>
      </c>
      <c r="H14" s="11" t="s">
        <v>42</v>
      </c>
      <c r="I14" s="12">
        <v>31080</v>
      </c>
      <c r="J14" s="12">
        <v>33960</v>
      </c>
      <c r="K14" s="3">
        <v>0.0926640926640927</v>
      </c>
    </row>
    <row r="15" spans="2:12" ht="18" customHeight="1">
      <c r="B15" s="11" t="s">
        <v>43</v>
      </c>
      <c r="C15" s="13">
        <v>45658</v>
      </c>
      <c r="D15" s="13">
        <v>45992</v>
      </c>
      <c r="H15" s="11" t="s">
        <v>43</v>
      </c>
      <c r="I15" s="12">
        <v>25485.6</v>
      </c>
      <c r="J15" s="12">
        <v>27847.2</v>
      </c>
      <c r="K15" s="3">
        <v>0.0926640926640927</v>
      </c>
    </row>
    <row r="18" spans="2:14" ht="18" customHeight="1">
      <c r="B18" s="6" t="s">
        <v>53</v>
      </c>
      <c r="C18" s="6" t="s">
        <v>54</v>
      </c>
      <c r="D18" s="6" t="s">
        <v>55</v>
      </c>
      <c r="E18" s="6" t="s">
        <v>56</v>
      </c>
      <c r="I18" s="6" t="s">
        <v>57</v>
      </c>
      <c r="J18" s="6" t="s">
        <v>58</v>
      </c>
      <c r="K18" s="6" t="s">
        <v>59</v>
      </c>
      <c r="L18" s="6" t="s">
        <v>56</v>
      </c>
      <c r="M18" s="6" t="s">
        <v>3</v>
      </c>
      <c r="N18" s="6" t="s">
        <v>60</v>
      </c>
    </row>
    <row r="19" spans="2:14" ht="18" customHeight="1">
      <c r="B19" s="13">
        <v>45292</v>
      </c>
      <c r="C19" s="12">
        <v>2480</v>
      </c>
      <c r="D19" s="12">
        <v>2033.6</v>
      </c>
      <c r="E19" s="3"/>
      <c r="I19" s="14" t="s">
        <v>61</v>
      </c>
      <c r="J19" s="12">
        <v>0</v>
      </c>
      <c r="K19" s="12">
        <v>0</v>
      </c>
      <c r="L19" s="3"/>
      <c r="M19" s="3">
        <v>0</v>
      </c>
      <c r="N19" s="3">
        <v>0</v>
      </c>
    </row>
    <row r="20" spans="2:14" ht="18" customHeight="1">
      <c r="B20" s="13">
        <v>45323</v>
      </c>
      <c r="C20" s="12">
        <v>2500</v>
      </c>
      <c r="D20" s="12">
        <v>2050</v>
      </c>
      <c r="E20" s="3"/>
      <c r="I20" s="14" t="s">
        <v>62</v>
      </c>
      <c r="J20" s="12">
        <v>0</v>
      </c>
      <c r="K20" s="12">
        <v>0</v>
      </c>
      <c r="L20" s="3"/>
      <c r="M20" s="3">
        <v>0</v>
      </c>
      <c r="N20" s="3">
        <v>0</v>
      </c>
    </row>
    <row r="21" spans="2:14" ht="18" customHeight="1">
      <c r="B21" s="13">
        <v>45352</v>
      </c>
      <c r="C21" s="12">
        <v>2520</v>
      </c>
      <c r="D21" s="12">
        <v>2066.4</v>
      </c>
      <c r="E21" s="3"/>
      <c r="I21" s="14" t="s">
        <v>63</v>
      </c>
      <c r="J21" s="12">
        <v>0</v>
      </c>
      <c r="K21" s="12">
        <v>0</v>
      </c>
      <c r="L21" s="3"/>
      <c r="M21" s="3">
        <v>0</v>
      </c>
      <c r="N21" s="3">
        <v>0</v>
      </c>
    </row>
    <row r="22" spans="2:14" ht="18" customHeight="1">
      <c r="B22" s="13">
        <v>45383</v>
      </c>
      <c r="C22" s="12">
        <v>2540</v>
      </c>
      <c r="D22" s="12">
        <v>2082.8</v>
      </c>
      <c r="E22" s="3"/>
      <c r="I22" s="14" t="s">
        <v>64</v>
      </c>
      <c r="J22" s="12">
        <v>0</v>
      </c>
      <c r="K22" s="12">
        <v>0</v>
      </c>
      <c r="L22" s="3"/>
      <c r="M22" s="3">
        <v>0</v>
      </c>
      <c r="N22" s="3">
        <v>0</v>
      </c>
    </row>
    <row r="23" spans="2:14" ht="18" customHeight="1">
      <c r="B23" s="13">
        <v>45413</v>
      </c>
      <c r="C23" s="12">
        <v>2560</v>
      </c>
      <c r="D23" s="12">
        <v>2099.2</v>
      </c>
      <c r="E23" s="3"/>
      <c r="I23" s="14" t="s">
        <v>65</v>
      </c>
      <c r="J23" s="12">
        <v>0</v>
      </c>
      <c r="K23" s="12">
        <v>0</v>
      </c>
      <c r="L23" s="3"/>
      <c r="M23" s="3">
        <v>0</v>
      </c>
      <c r="N23" s="3">
        <v>0</v>
      </c>
    </row>
    <row r="24" spans="2:14" ht="18" customHeight="1">
      <c r="B24" s="13">
        <v>45444</v>
      </c>
      <c r="C24" s="12">
        <v>2580</v>
      </c>
      <c r="D24" s="12">
        <v>2115.6</v>
      </c>
      <c r="E24" s="3"/>
      <c r="I24" s="14" t="s">
        <v>66</v>
      </c>
      <c r="J24" s="12">
        <v>0</v>
      </c>
      <c r="K24" s="12">
        <v>0</v>
      </c>
      <c r="L24" s="3"/>
      <c r="M24" s="3">
        <v>0</v>
      </c>
      <c r="N24" s="3">
        <v>0</v>
      </c>
    </row>
    <row r="25" spans="2:14" ht="18" customHeight="1">
      <c r="B25" s="13">
        <v>45474</v>
      </c>
      <c r="C25" s="12">
        <v>2600</v>
      </c>
      <c r="D25" s="12">
        <v>2132</v>
      </c>
      <c r="E25" s="3"/>
      <c r="I25" s="14" t="s">
        <v>67</v>
      </c>
      <c r="J25" s="12">
        <v>0</v>
      </c>
      <c r="K25" s="12">
        <v>0</v>
      </c>
      <c r="L25" s="3"/>
      <c r="M25" s="3">
        <v>0</v>
      </c>
      <c r="N25" s="3">
        <v>0</v>
      </c>
    </row>
    <row r="26" spans="2:14" ht="18" customHeight="1">
      <c r="B26" s="13">
        <v>45505</v>
      </c>
      <c r="C26" s="12">
        <v>2620</v>
      </c>
      <c r="D26" s="12">
        <v>2148.4</v>
      </c>
      <c r="E26" s="3"/>
      <c r="I26" s="14" t="s">
        <v>68</v>
      </c>
      <c r="J26" s="12">
        <v>0</v>
      </c>
      <c r="K26" s="12">
        <v>0</v>
      </c>
      <c r="L26" s="3"/>
      <c r="M26" s="3">
        <v>0</v>
      </c>
      <c r="N26" s="3">
        <v>0</v>
      </c>
    </row>
    <row r="27" spans="2:14" ht="18" customHeight="1">
      <c r="B27" s="13">
        <v>45536</v>
      </c>
      <c r="C27" s="12">
        <v>2640</v>
      </c>
      <c r="D27" s="12">
        <v>2164.8</v>
      </c>
      <c r="E27" s="3"/>
      <c r="I27" s="14" t="s">
        <v>69</v>
      </c>
      <c r="J27" s="12">
        <v>0</v>
      </c>
      <c r="K27" s="12">
        <v>0</v>
      </c>
      <c r="L27" s="3"/>
      <c r="M27" s="3">
        <v>0</v>
      </c>
      <c r="N27" s="3">
        <v>0</v>
      </c>
    </row>
    <row r="28" spans="2:14" ht="18" customHeight="1">
      <c r="B28" s="13">
        <v>45566</v>
      </c>
      <c r="C28" s="12">
        <v>2660</v>
      </c>
      <c r="D28" s="12">
        <v>2181.2</v>
      </c>
      <c r="E28" s="3"/>
      <c r="I28" s="14" t="s">
        <v>70</v>
      </c>
      <c r="J28" s="12">
        <v>0</v>
      </c>
      <c r="K28" s="12">
        <v>0</v>
      </c>
      <c r="L28" s="3"/>
      <c r="M28" s="3">
        <v>0</v>
      </c>
      <c r="N28" s="3">
        <v>0</v>
      </c>
    </row>
    <row r="29" spans="2:14" ht="18" customHeight="1">
      <c r="B29" s="13">
        <v>45597</v>
      </c>
      <c r="C29" s="12">
        <v>2680</v>
      </c>
      <c r="D29" s="12">
        <v>2197.6</v>
      </c>
      <c r="E29" s="3"/>
      <c r="I29" s="14" t="s">
        <v>71</v>
      </c>
      <c r="J29" s="12">
        <v>0</v>
      </c>
      <c r="K29" s="12">
        <v>0</v>
      </c>
      <c r="L29" s="3"/>
      <c r="M29" s="3">
        <v>0</v>
      </c>
      <c r="N29" s="3">
        <v>0</v>
      </c>
    </row>
    <row r="30" spans="2:14" ht="18" customHeight="1">
      <c r="B30" s="13">
        <v>45627</v>
      </c>
      <c r="C30" s="12">
        <v>2700</v>
      </c>
      <c r="D30" s="12">
        <v>2214</v>
      </c>
      <c r="E30" s="3">
        <f>IFERROR(SUM(D19:D30)/SUM(C19:C30),"")</f>
        <v>0.82</v>
      </c>
      <c r="I30" s="14" t="s">
        <v>72</v>
      </c>
      <c r="J30" s="12">
        <v>0</v>
      </c>
      <c r="K30" s="12">
        <v>0</v>
      </c>
      <c r="L30" s="3"/>
      <c r="M30" s="3">
        <v>0</v>
      </c>
      <c r="N30" s="3">
        <v>0</v>
      </c>
    </row>
    <row r="31" spans="2:14" ht="18" customHeight="1">
      <c r="B31" s="13">
        <v>45658</v>
      </c>
      <c r="C31" s="12">
        <v>2720</v>
      </c>
      <c r="D31" s="12">
        <v>2230.4</v>
      </c>
      <c r="E31" s="3">
        <f>IFERROR(SUM(D20:D31)/SUM(C20:C31),"")</f>
        <v>0.8200000000000001</v>
      </c>
      <c r="I31" s="14" t="s">
        <v>73</v>
      </c>
      <c r="J31" s="12">
        <v>0</v>
      </c>
      <c r="K31" s="12">
        <v>0</v>
      </c>
      <c r="L31" s="3"/>
      <c r="M31" s="3">
        <v>0</v>
      </c>
      <c r="N31" s="3">
        <v>0</v>
      </c>
    </row>
    <row r="32" spans="2:14" ht="18" customHeight="1">
      <c r="B32" s="13">
        <v>45689</v>
      </c>
      <c r="C32" s="12">
        <v>2740</v>
      </c>
      <c r="D32" s="12">
        <v>2246.8</v>
      </c>
      <c r="E32" s="3">
        <f>IFERROR(SUM(D21:D32)/SUM(C21:C32),"")</f>
        <v>0.8200000000000001</v>
      </c>
      <c r="I32" s="14" t="s">
        <v>74</v>
      </c>
      <c r="J32" s="12">
        <v>0</v>
      </c>
      <c r="K32" s="12">
        <v>0</v>
      </c>
      <c r="L32" s="3"/>
      <c r="M32" s="3">
        <v>0</v>
      </c>
      <c r="N32" s="3">
        <v>0</v>
      </c>
    </row>
    <row r="33" spans="2:14" ht="18" customHeight="1">
      <c r="B33" s="13">
        <v>45717</v>
      </c>
      <c r="C33" s="12">
        <v>2760</v>
      </c>
      <c r="D33" s="12">
        <v>2263.2</v>
      </c>
      <c r="E33" s="3">
        <f>IFERROR(SUM(D22:D33)/SUM(C22:C33),"")</f>
        <v>0.82</v>
      </c>
      <c r="I33" s="14" t="s">
        <v>75</v>
      </c>
      <c r="J33" s="12">
        <v>0</v>
      </c>
      <c r="K33" s="12">
        <v>0</v>
      </c>
      <c r="L33" s="3"/>
      <c r="M33" s="3">
        <v>0</v>
      </c>
      <c r="N33" s="3">
        <v>0</v>
      </c>
    </row>
    <row r="34" spans="2:14" ht="18" customHeight="1">
      <c r="B34" s="13">
        <v>45748</v>
      </c>
      <c r="C34" s="12">
        <v>2780</v>
      </c>
      <c r="D34" s="12">
        <v>2279.6</v>
      </c>
      <c r="E34" s="3">
        <f>IFERROR(SUM(D23:D34)/SUM(C23:C34),"")</f>
        <v>0.82</v>
      </c>
      <c r="I34" s="14" t="s">
        <v>76</v>
      </c>
      <c r="J34" s="12">
        <v>0</v>
      </c>
      <c r="K34" s="12">
        <v>0</v>
      </c>
      <c r="L34" s="3"/>
      <c r="M34" s="3">
        <v>0</v>
      </c>
      <c r="N34" s="3">
        <v>0</v>
      </c>
    </row>
    <row r="35" spans="2:14" ht="18" customHeight="1">
      <c r="B35" s="13">
        <v>45778</v>
      </c>
      <c r="C35" s="12">
        <v>2800</v>
      </c>
      <c r="D35" s="12">
        <v>2296</v>
      </c>
      <c r="E35" s="3">
        <f>IFERROR(SUM(D24:D35)/SUM(C24:C35),"")</f>
        <v>0.82</v>
      </c>
      <c r="I35" s="14" t="s">
        <v>77</v>
      </c>
      <c r="J35" s="12">
        <v>0</v>
      </c>
      <c r="K35" s="12">
        <v>0</v>
      </c>
      <c r="L35" s="3"/>
      <c r="M35" s="3">
        <v>0</v>
      </c>
      <c r="N35" s="3">
        <v>0</v>
      </c>
    </row>
    <row r="36" spans="2:14" ht="18" customHeight="1">
      <c r="B36" s="13">
        <v>45809</v>
      </c>
      <c r="C36" s="12">
        <v>2820</v>
      </c>
      <c r="D36" s="12">
        <v>2312.4</v>
      </c>
      <c r="E36" s="3">
        <f>IFERROR(SUM(D25:D36)/SUM(C25:C36),"")</f>
        <v>0.8200000000000001</v>
      </c>
      <c r="I36" s="14" t="s">
        <v>78</v>
      </c>
      <c r="J36" s="12">
        <v>0</v>
      </c>
      <c r="K36" s="12">
        <v>0</v>
      </c>
      <c r="L36" s="3"/>
      <c r="M36" s="3">
        <v>0</v>
      </c>
      <c r="N36" s="3">
        <v>0</v>
      </c>
    </row>
    <row r="37" spans="2:14" ht="18" customHeight="1">
      <c r="B37" s="13">
        <v>45839</v>
      </c>
      <c r="C37" s="12">
        <v>2840</v>
      </c>
      <c r="D37" s="12">
        <v>2328.8</v>
      </c>
      <c r="E37" s="3">
        <f>IFERROR(SUM(D26:D37)/SUM(C26:C37),"")</f>
        <v>0.8200000000000001</v>
      </c>
      <c r="I37" s="14" t="s">
        <v>79</v>
      </c>
      <c r="J37" s="12">
        <v>33960</v>
      </c>
      <c r="K37" s="12">
        <v>27847.2</v>
      </c>
      <c r="L37" s="3">
        <v>0.8200000000000001</v>
      </c>
      <c r="M37" s="3">
        <v>1</v>
      </c>
      <c r="N37" s="3">
        <v>1</v>
      </c>
    </row>
    <row r="38" spans="2:14" ht="18" customHeight="1">
      <c r="B38" s="13">
        <v>45870</v>
      </c>
      <c r="C38" s="12">
        <v>2860</v>
      </c>
      <c r="D38" s="12">
        <v>2345.2</v>
      </c>
      <c r="E38" s="3">
        <f>IFERROR(SUM(D27:D38)/SUM(C27:C38),"")</f>
        <v>0.82</v>
      </c>
      <c r="I38" s="14" t="s">
        <v>80</v>
      </c>
      <c r="J38" s="12">
        <v>0</v>
      </c>
      <c r="K38" s="12">
        <v>0</v>
      </c>
      <c r="L38" s="3"/>
      <c r="M38" s="3">
        <v>0</v>
      </c>
      <c r="N38" s="3">
        <v>0</v>
      </c>
    </row>
    <row r="39" spans="2:14" ht="18" customHeight="1">
      <c r="B39" s="13">
        <v>45901</v>
      </c>
      <c r="C39" s="12">
        <v>2880</v>
      </c>
      <c r="D39" s="12">
        <v>2361.6</v>
      </c>
      <c r="E39" s="3">
        <f>IFERROR(SUM(D28:D39)/SUM(C28:C39),"")</f>
        <v>0.82</v>
      </c>
      <c r="I39" s="14" t="s">
        <v>81</v>
      </c>
      <c r="J39" s="12">
        <f>SUM(J19:J38)</f>
        <v>33960.0</v>
      </c>
      <c r="K39" s="12">
        <f>SUM(K19:K38)</f>
        <v>27847.2</v>
      </c>
      <c r="L39" s="3">
        <f>IFERROR(K39/J39,"")</f>
        <v>0.8200000000000001</v>
      </c>
      <c r="M39" s="3">
        <v>1</v>
      </c>
      <c r="N39" s="3">
        <v>1</v>
      </c>
    </row>
    <row r="40" spans="2:14" ht="18" customHeight="1">
      <c r="B40" s="13">
        <v>45931</v>
      </c>
      <c r="C40" s="12">
        <v>2900</v>
      </c>
      <c r="D40" s="12">
        <v>2378</v>
      </c>
      <c r="E40" s="3">
        <f>IFERROR(SUM(D29:D40)/SUM(C29:C40),"")</f>
        <v>0.82</v>
      </c>
    </row>
    <row r="41" spans="2:14" ht="18" customHeight="1">
      <c r="B41" s="13">
        <v>45962</v>
      </c>
      <c r="C41" s="12">
        <v>2920</v>
      </c>
      <c r="D41" s="12">
        <v>2394.4</v>
      </c>
      <c r="E41" s="3">
        <f>IFERROR(SUM(D30:D41)/SUM(C30:C41),"")</f>
        <v>0.8200000000000001</v>
      </c>
    </row>
    <row r="42" spans="2:14" ht="18" customHeight="1">
      <c r="B42" s="13">
        <v>45992</v>
      </c>
      <c r="C42" s="12">
        <v>2940</v>
      </c>
      <c r="D42" s="12">
        <v>2410.8</v>
      </c>
      <c r="E42" s="3">
        <f>IFERROR(SUM(D31:D42)/SUM(C31:C42),"")</f>
        <v>0.8200000000000001</v>
      </c>
    </row>
    <row r="62" spans="2:5" ht="18" customHeight="1">
      <c r="B62" s="6" t="s">
        <v>82</v>
      </c>
      <c r="C62" s="6"/>
      <c r="D62" s="6"/>
      <c r="E62" s="6"/>
    </row>
    <row r="63" spans="2:5" ht="18" customHeight="1">
      <c r="B63" s="6" t="s">
        <v>53</v>
      </c>
      <c r="C63" s="6" t="s">
        <v>54</v>
      </c>
      <c r="D63" s="6" t="s">
        <v>55</v>
      </c>
      <c r="E63" s="6" t="s">
        <v>56</v>
      </c>
    </row>
    <row r="64" spans="2:5" ht="18" customHeight="1">
      <c r="B64" s="13">
        <v>45292</v>
      </c>
      <c r="C64" s="12"/>
      <c r="D64" s="12"/>
      <c r="E64" s="3"/>
    </row>
    <row r="65" spans="2:5" ht="18" customHeight="1">
      <c r="B65" s="13">
        <v>45323</v>
      </c>
      <c r="C65" s="12"/>
      <c r="D65" s="12"/>
      <c r="E65" s="3"/>
    </row>
    <row r="66" spans="2:5" ht="18" customHeight="1">
      <c r="B66" s="13">
        <v>45352</v>
      </c>
      <c r="C66" s="12"/>
      <c r="D66" s="12"/>
      <c r="E66" s="3"/>
    </row>
    <row r="67" spans="2:5" ht="18" customHeight="1">
      <c r="B67" s="13">
        <v>45383</v>
      </c>
      <c r="C67" s="12"/>
      <c r="D67" s="12"/>
      <c r="E67" s="3"/>
    </row>
    <row r="68" spans="2:5" ht="18" customHeight="1">
      <c r="B68" s="13">
        <v>45413</v>
      </c>
      <c r="C68" s="12"/>
      <c r="D68" s="12"/>
      <c r="E68" s="3"/>
    </row>
    <row r="69" spans="2:5" ht="18" customHeight="1">
      <c r="B69" s="13">
        <v>45444</v>
      </c>
      <c r="C69" s="12"/>
      <c r="D69" s="12"/>
      <c r="E69" s="3"/>
    </row>
    <row r="70" spans="2:5" ht="18" customHeight="1">
      <c r="B70" s="13">
        <v>45474</v>
      </c>
      <c r="C70" s="12"/>
      <c r="D70" s="12"/>
      <c r="E70" s="3"/>
    </row>
    <row r="71" spans="2:5" ht="18" customHeight="1">
      <c r="B71" s="13">
        <v>45505</v>
      </c>
      <c r="C71" s="12"/>
      <c r="D71" s="12"/>
      <c r="E71" s="3"/>
    </row>
    <row r="72" spans="2:5" ht="18" customHeight="1">
      <c r="B72" s="13">
        <v>45536</v>
      </c>
      <c r="C72" s="12"/>
      <c r="D72" s="12"/>
      <c r="E72" s="3"/>
    </row>
    <row r="73" spans="2:5" ht="18" customHeight="1">
      <c r="B73" s="13">
        <v>45566</v>
      </c>
      <c r="C73" s="12"/>
      <c r="D73" s="12"/>
      <c r="E73" s="3"/>
    </row>
    <row r="74" spans="2:5" ht="18" customHeight="1">
      <c r="B74" s="13">
        <v>45597</v>
      </c>
      <c r="C74" s="12"/>
      <c r="D74" s="12"/>
      <c r="E74" s="3"/>
    </row>
    <row r="75" spans="2:5" ht="18" customHeight="1">
      <c r="B75" s="13">
        <v>45627</v>
      </c>
      <c r="C75" s="12">
        <v>31080</v>
      </c>
      <c r="D75" s="12">
        <v>25485.6</v>
      </c>
      <c r="E75" s="3">
        <f>IFERROR(SUM(D64:D75)/SUM(C64:C75),"")</f>
        <v>0.82</v>
      </c>
    </row>
    <row r="76" spans="2:5" ht="18" customHeight="1">
      <c r="B76" s="13">
        <v>45658</v>
      </c>
      <c r="C76" s="12">
        <v>31320</v>
      </c>
      <c r="D76" s="12">
        <v>25682.4</v>
      </c>
      <c r="E76" s="3">
        <f>IFERROR(SUM(D65:D76)/SUM(C65:C76),"")</f>
        <v>0.8200000000000001</v>
      </c>
    </row>
    <row r="77" spans="2:5" ht="18" customHeight="1">
      <c r="B77" s="13">
        <v>45689</v>
      </c>
      <c r="C77" s="12">
        <v>31560</v>
      </c>
      <c r="D77" s="12">
        <v>25879.2</v>
      </c>
      <c r="E77" s="3">
        <f>IFERROR(SUM(D66:D77)/SUM(C66:C77),"")</f>
        <v>0.8200000000000001</v>
      </c>
    </row>
    <row r="78" spans="2:5" ht="18" customHeight="1">
      <c r="B78" s="13">
        <v>45717</v>
      </c>
      <c r="C78" s="12">
        <v>31800</v>
      </c>
      <c r="D78" s="12">
        <v>26076</v>
      </c>
      <c r="E78" s="3">
        <f>IFERROR(SUM(D67:D78)/SUM(C67:C78),"")</f>
        <v>0.82</v>
      </c>
    </row>
    <row r="79" spans="2:5" ht="18" customHeight="1">
      <c r="B79" s="13">
        <v>45748</v>
      </c>
      <c r="C79" s="12">
        <v>32040</v>
      </c>
      <c r="D79" s="12">
        <v>26272.8</v>
      </c>
      <c r="E79" s="3">
        <f>IFERROR(SUM(D68:D79)/SUM(C68:C79),"")</f>
        <v>0.82</v>
      </c>
    </row>
    <row r="80" spans="2:5" ht="18" customHeight="1">
      <c r="B80" s="13">
        <v>45778</v>
      </c>
      <c r="C80" s="12">
        <v>32280</v>
      </c>
      <c r="D80" s="12">
        <v>26469.6</v>
      </c>
      <c r="E80" s="3">
        <f>IFERROR(SUM(D69:D80)/SUM(C69:C80),"")</f>
        <v>0.82</v>
      </c>
    </row>
    <row r="81" spans="2:8" ht="18" customHeight="1">
      <c r="B81" s="13">
        <v>45809</v>
      </c>
      <c r="C81" s="12">
        <v>32520</v>
      </c>
      <c r="D81" s="12">
        <v>26666.4</v>
      </c>
      <c r="E81" s="3">
        <f>IFERROR(SUM(D70:D81)/SUM(C70:C81),"")</f>
        <v>0.8200000000000001</v>
      </c>
    </row>
    <row r="82" spans="2:8" ht="18" customHeight="1">
      <c r="B82" s="13">
        <v>45839</v>
      </c>
      <c r="C82" s="12">
        <v>32760</v>
      </c>
      <c r="D82" s="12">
        <v>26863.2</v>
      </c>
      <c r="E82" s="3">
        <f>IFERROR(SUM(D71:D82)/SUM(C71:C82),"")</f>
        <v>0.8200000000000001</v>
      </c>
    </row>
    <row r="83" spans="2:8" ht="18" customHeight="1">
      <c r="B83" s="13">
        <v>45870</v>
      </c>
      <c r="C83" s="12">
        <v>33000</v>
      </c>
      <c r="D83" s="12">
        <v>27060</v>
      </c>
      <c r="E83" s="3">
        <f>IFERROR(SUM(D72:D83)/SUM(C72:C83),"")</f>
        <v>0.82</v>
      </c>
    </row>
    <row r="84" spans="2:8" ht="18" customHeight="1">
      <c r="B84" s="13">
        <v>45901</v>
      </c>
      <c r="C84" s="12">
        <v>33240</v>
      </c>
      <c r="D84" s="12">
        <v>27256.8</v>
      </c>
      <c r="E84" s="3">
        <f>IFERROR(SUM(D73:D84)/SUM(C73:C84),"")</f>
        <v>0.82</v>
      </c>
    </row>
    <row r="85" spans="2:8" ht="18" customHeight="1">
      <c r="B85" s="13">
        <v>45931</v>
      </c>
      <c r="C85" s="12">
        <v>33480</v>
      </c>
      <c r="D85" s="12">
        <v>27453.6</v>
      </c>
      <c r="E85" s="3">
        <f>IFERROR(SUM(D74:D85)/SUM(C74:C85),"")</f>
        <v>0.82</v>
      </c>
    </row>
    <row r="86" spans="2:8" ht="18" customHeight="1">
      <c r="B86" s="13">
        <v>45962</v>
      </c>
      <c r="C86" s="12">
        <v>33720</v>
      </c>
      <c r="D86" s="12">
        <v>27650.4</v>
      </c>
      <c r="E86" s="3">
        <f>IFERROR(SUM(D75:D86)/SUM(C75:C86),"")</f>
        <v>0.8200000000000001</v>
      </c>
    </row>
    <row r="87" spans="2:8" ht="18" customHeight="1">
      <c r="B87" s="13">
        <v>45992</v>
      </c>
      <c r="C87" s="12">
        <v>33960</v>
      </c>
      <c r="D87" s="12">
        <v>27847.2</v>
      </c>
      <c r="E87" s="3">
        <f>IFERROR(SUM(D76:D87)/SUM(C76:C87),"")</f>
        <v>0.8200000000000001</v>
      </c>
    </row>
    <row r="90" spans="2:8" ht="18" customHeight="1">
      <c r="B90" s="6" t="s">
        <v>83</v>
      </c>
      <c r="C90" s="6"/>
      <c r="D90" s="6"/>
      <c r="E90" s="6"/>
      <c r="F90" s="6"/>
      <c r="G90" s="6"/>
      <c r="H90" s="6"/>
    </row>
    <row r="91" spans="2:8" ht="18" customHeight="1">
      <c r="B91" s="6" t="s">
        <v>84</v>
      </c>
      <c r="C91" s="6" t="s">
        <v>85</v>
      </c>
      <c r="D91" s="6" t="s">
        <v>54</v>
      </c>
      <c r="E91" s="6" t="s">
        <v>55</v>
      </c>
      <c r="F91" s="6" t="s">
        <v>86</v>
      </c>
      <c r="G91" s="6" t="s">
        <v>87</v>
      </c>
      <c r="H91" s="6" t="s">
        <v>34</v>
      </c>
    </row>
    <row r="92" spans="2:8" ht="18" customHeight="1">
      <c r="B92" s="11" t="s">
        <v>88</v>
      </c>
      <c r="C92" s="11"/>
      <c r="D92" s="11"/>
      <c r="E92" s="11"/>
      <c r="F92" s="11"/>
      <c r="G92" s="11"/>
      <c r="H92" s="11"/>
    </row>
  </sheetData>
  <mergeCells count="8">
    <mergeCell ref="B1:D2"/>
    <mergeCell ref="C6:F6"/>
    <mergeCell ref="H6:K6"/>
    <mergeCell ref="B12:D12"/>
    <mergeCell ref="H12:K12"/>
    <mergeCell ref="B62:E62"/>
    <mergeCell ref="B90:H90"/>
    <mergeCell ref="B92:H92"/>
  </mergeCells>
  <hyperlinks>
    <hyperlink ref="L1" location="'Resumo Categorias'!A1" display="Voltar ao Resumo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8" customHeight="1"/>
  <cols>
    <col min="1" max="1" width="12.7109375" customWidth="1"/>
    <col min="2" max="8" width="15.7109375" customWidth="1"/>
  </cols>
  <sheetData>
    <row r="1" spans="1:6" ht="18" customHeight="1">
      <c r="A1" s="15" t="s">
        <v>89</v>
      </c>
      <c r="B1" s="15"/>
      <c r="C1" s="15"/>
      <c r="D1" s="15"/>
      <c r="E1" s="15"/>
      <c r="F1" s="15"/>
    </row>
    <row r="25" spans="1:4" ht="18" customHeight="1">
      <c r="A25" s="6" t="s">
        <v>53</v>
      </c>
      <c r="B25" s="6" t="s">
        <v>54</v>
      </c>
      <c r="C25" s="6" t="s">
        <v>55</v>
      </c>
      <c r="D25" s="6" t="s">
        <v>56</v>
      </c>
    </row>
    <row r="26" spans="1:4" ht="18" customHeight="1">
      <c r="A26" s="13">
        <v>45292</v>
      </c>
      <c r="B26" s="12">
        <v>2080</v>
      </c>
      <c r="C26" s="12">
        <v>1705.6</v>
      </c>
      <c r="D26" s="3"/>
    </row>
    <row r="27" spans="1:4" ht="18" customHeight="1">
      <c r="A27" s="13">
        <v>45323</v>
      </c>
      <c r="B27" s="12">
        <v>2100</v>
      </c>
      <c r="C27" s="12">
        <v>1722</v>
      </c>
      <c r="D27" s="3"/>
    </row>
    <row r="28" spans="1:4" ht="18" customHeight="1">
      <c r="A28" s="13">
        <v>45352</v>
      </c>
      <c r="B28" s="12">
        <v>2120</v>
      </c>
      <c r="C28" s="12">
        <v>1738.4</v>
      </c>
      <c r="D28" s="3"/>
    </row>
    <row r="29" spans="1:4" ht="18" customHeight="1">
      <c r="A29" s="13">
        <v>45383</v>
      </c>
      <c r="B29" s="12">
        <v>2140</v>
      </c>
      <c r="C29" s="12">
        <v>1754.8</v>
      </c>
      <c r="D29" s="3"/>
    </row>
    <row r="30" spans="1:4" ht="18" customHeight="1">
      <c r="A30" s="13">
        <v>45413</v>
      </c>
      <c r="B30" s="12">
        <v>2160</v>
      </c>
      <c r="C30" s="12">
        <v>1771.2</v>
      </c>
      <c r="D30" s="3"/>
    </row>
    <row r="31" spans="1:4" ht="18" customHeight="1">
      <c r="A31" s="13">
        <v>45444</v>
      </c>
      <c r="B31" s="12">
        <v>2180</v>
      </c>
      <c r="C31" s="12">
        <v>1787.6</v>
      </c>
      <c r="D31" s="3"/>
    </row>
    <row r="32" spans="1:4" ht="18" customHeight="1">
      <c r="A32" s="13">
        <v>45474</v>
      </c>
      <c r="B32" s="12">
        <v>2200</v>
      </c>
      <c r="C32" s="12">
        <v>1804</v>
      </c>
      <c r="D32" s="3"/>
    </row>
    <row r="33" spans="1:4" ht="18" customHeight="1">
      <c r="A33" s="13">
        <v>45505</v>
      </c>
      <c r="B33" s="12">
        <v>2220</v>
      </c>
      <c r="C33" s="12">
        <v>1820.4</v>
      </c>
      <c r="D33" s="3"/>
    </row>
    <row r="34" spans="1:4" ht="18" customHeight="1">
      <c r="A34" s="13">
        <v>45536</v>
      </c>
      <c r="B34" s="12">
        <v>2240</v>
      </c>
      <c r="C34" s="12">
        <v>1836.8</v>
      </c>
      <c r="D34" s="3"/>
    </row>
    <row r="35" spans="1:4" ht="18" customHeight="1">
      <c r="A35" s="13">
        <v>45566</v>
      </c>
      <c r="B35" s="12">
        <v>2260</v>
      </c>
      <c r="C35" s="12">
        <v>1853.2</v>
      </c>
      <c r="D35" s="3"/>
    </row>
    <row r="36" spans="1:4" ht="18" customHeight="1">
      <c r="A36" s="13">
        <v>45597</v>
      </c>
      <c r="B36" s="12">
        <v>2280</v>
      </c>
      <c r="C36" s="12">
        <v>1869.6</v>
      </c>
      <c r="D36" s="3"/>
    </row>
    <row r="37" spans="1:4" ht="18" customHeight="1">
      <c r="A37" s="13">
        <v>45627</v>
      </c>
      <c r="B37" s="12">
        <v>2300</v>
      </c>
      <c r="C37" s="12">
        <v>1886</v>
      </c>
      <c r="D37" s="3">
        <v>0.82</v>
      </c>
    </row>
    <row r="38" spans="1:4" ht="18" customHeight="1">
      <c r="A38" s="13">
        <v>45658</v>
      </c>
      <c r="B38" s="12">
        <v>2320</v>
      </c>
      <c r="C38" s="12">
        <v>1902.4</v>
      </c>
      <c r="D38" s="3">
        <v>0.8200000000000001</v>
      </c>
    </row>
    <row r="39" spans="1:4" ht="18" customHeight="1">
      <c r="A39" s="13">
        <v>45689</v>
      </c>
      <c r="B39" s="12">
        <v>2340</v>
      </c>
      <c r="C39" s="12">
        <v>1918.8</v>
      </c>
      <c r="D39" s="3">
        <v>0.8200000000000001</v>
      </c>
    </row>
    <row r="40" spans="1:4" ht="18" customHeight="1">
      <c r="A40" s="13">
        <v>45717</v>
      </c>
      <c r="B40" s="12">
        <v>2360</v>
      </c>
      <c r="C40" s="12">
        <v>1935.2</v>
      </c>
      <c r="D40" s="3">
        <v>0.82</v>
      </c>
    </row>
    <row r="41" spans="1:4" ht="18" customHeight="1">
      <c r="A41" s="13">
        <v>45748</v>
      </c>
      <c r="B41" s="12">
        <v>2380</v>
      </c>
      <c r="C41" s="12">
        <v>1951.6</v>
      </c>
      <c r="D41" s="3">
        <v>0.82</v>
      </c>
    </row>
    <row r="42" spans="1:4" ht="18" customHeight="1">
      <c r="A42" s="13">
        <v>45778</v>
      </c>
      <c r="B42" s="12">
        <v>2400</v>
      </c>
      <c r="C42" s="12">
        <v>1968</v>
      </c>
      <c r="D42" s="3">
        <v>0.82</v>
      </c>
    </row>
    <row r="43" spans="1:4" ht="18" customHeight="1">
      <c r="A43" s="13">
        <v>45809</v>
      </c>
      <c r="B43" s="12">
        <v>2420</v>
      </c>
      <c r="C43" s="12">
        <v>1984.4</v>
      </c>
      <c r="D43" s="3">
        <v>0.8200000000000001</v>
      </c>
    </row>
    <row r="44" spans="1:4" ht="18" customHeight="1">
      <c r="A44" s="13">
        <v>45839</v>
      </c>
      <c r="B44" s="12">
        <v>2440</v>
      </c>
      <c r="C44" s="12">
        <v>2000.8</v>
      </c>
      <c r="D44" s="3">
        <v>0.8200000000000001</v>
      </c>
    </row>
    <row r="45" spans="1:4" ht="18" customHeight="1">
      <c r="A45" s="13">
        <v>45870</v>
      </c>
      <c r="B45" s="12">
        <v>2460</v>
      </c>
      <c r="C45" s="12">
        <v>2017.2</v>
      </c>
      <c r="D45" s="3">
        <v>0.82</v>
      </c>
    </row>
    <row r="46" spans="1:4" ht="18" customHeight="1">
      <c r="A46" s="13">
        <v>45901</v>
      </c>
      <c r="B46" s="12">
        <v>2480</v>
      </c>
      <c r="C46" s="12">
        <v>2033.6</v>
      </c>
      <c r="D46" s="3">
        <v>0.82</v>
      </c>
    </row>
    <row r="47" spans="1:4" ht="18" customHeight="1">
      <c r="A47" s="13">
        <v>45931</v>
      </c>
      <c r="B47" s="12">
        <v>2500</v>
      </c>
      <c r="C47" s="12">
        <v>2050</v>
      </c>
      <c r="D47" s="3">
        <v>0.82</v>
      </c>
    </row>
    <row r="48" spans="1:4" ht="18" customHeight="1">
      <c r="A48" s="13">
        <v>45962</v>
      </c>
      <c r="B48" s="12">
        <v>2520</v>
      </c>
      <c r="C48" s="12">
        <v>2066.4</v>
      </c>
      <c r="D48" s="3">
        <v>0.8200000000000001</v>
      </c>
    </row>
    <row r="49" spans="1:6" ht="18" customHeight="1">
      <c r="A49" s="13">
        <v>45992</v>
      </c>
      <c r="B49" s="12">
        <v>2540</v>
      </c>
      <c r="C49" s="12">
        <v>2082.8</v>
      </c>
      <c r="D49" s="3">
        <v>0.8200000000000001</v>
      </c>
    </row>
    <row r="53" spans="1:6" ht="18" customHeight="1">
      <c r="A53" s="15" t="s">
        <v>90</v>
      </c>
      <c r="B53" s="15"/>
      <c r="C53" s="15"/>
      <c r="D53" s="15"/>
      <c r="E53" s="15"/>
      <c r="F53" s="15"/>
    </row>
    <row r="77" spans="1:4" ht="18" customHeight="1">
      <c r="A77" s="6" t="s">
        <v>53</v>
      </c>
      <c r="B77" s="6" t="s">
        <v>54</v>
      </c>
      <c r="C77" s="6" t="s">
        <v>55</v>
      </c>
      <c r="D77" s="6" t="s">
        <v>56</v>
      </c>
    </row>
    <row r="78" spans="1:4" ht="18" customHeight="1">
      <c r="A78" s="13">
        <v>45292</v>
      </c>
      <c r="B78" s="12">
        <v>2480</v>
      </c>
      <c r="C78" s="12">
        <v>2033.6</v>
      </c>
      <c r="D78" s="3"/>
    </row>
    <row r="79" spans="1:4" ht="18" customHeight="1">
      <c r="A79" s="13">
        <v>45323</v>
      </c>
      <c r="B79" s="12">
        <v>2500</v>
      </c>
      <c r="C79" s="12">
        <v>2050</v>
      </c>
      <c r="D79" s="3"/>
    </row>
    <row r="80" spans="1:4" ht="18" customHeight="1">
      <c r="A80" s="13">
        <v>45352</v>
      </c>
      <c r="B80" s="12">
        <v>2520</v>
      </c>
      <c r="C80" s="12">
        <v>2066.4</v>
      </c>
      <c r="D80" s="3"/>
    </row>
    <row r="81" spans="1:4" ht="18" customHeight="1">
      <c r="A81" s="13">
        <v>45383</v>
      </c>
      <c r="B81" s="12">
        <v>2540</v>
      </c>
      <c r="C81" s="12">
        <v>2082.8</v>
      </c>
      <c r="D81" s="3"/>
    </row>
    <row r="82" spans="1:4" ht="18" customHeight="1">
      <c r="A82" s="13">
        <v>45413</v>
      </c>
      <c r="B82" s="12">
        <v>2560</v>
      </c>
      <c r="C82" s="12">
        <v>2099.2</v>
      </c>
      <c r="D82" s="3"/>
    </row>
    <row r="83" spans="1:4" ht="18" customHeight="1">
      <c r="A83" s="13">
        <v>45444</v>
      </c>
      <c r="B83" s="12">
        <v>2580</v>
      </c>
      <c r="C83" s="12">
        <v>2115.6</v>
      </c>
      <c r="D83" s="3"/>
    </row>
    <row r="84" spans="1:4" ht="18" customHeight="1">
      <c r="A84" s="13">
        <v>45474</v>
      </c>
      <c r="B84" s="12">
        <v>2600</v>
      </c>
      <c r="C84" s="12">
        <v>2132</v>
      </c>
      <c r="D84" s="3"/>
    </row>
    <row r="85" spans="1:4" ht="18" customHeight="1">
      <c r="A85" s="13">
        <v>45505</v>
      </c>
      <c r="B85" s="12">
        <v>2620</v>
      </c>
      <c r="C85" s="12">
        <v>2148.4</v>
      </c>
      <c r="D85" s="3"/>
    </row>
    <row r="86" spans="1:4" ht="18" customHeight="1">
      <c r="A86" s="13">
        <v>45536</v>
      </c>
      <c r="B86" s="12">
        <v>2640</v>
      </c>
      <c r="C86" s="12">
        <v>2164.8</v>
      </c>
      <c r="D86" s="3"/>
    </row>
    <row r="87" spans="1:4" ht="18" customHeight="1">
      <c r="A87" s="13">
        <v>45566</v>
      </c>
      <c r="B87" s="12">
        <v>2660</v>
      </c>
      <c r="C87" s="12">
        <v>2181.2</v>
      </c>
      <c r="D87" s="3"/>
    </row>
    <row r="88" spans="1:4" ht="18" customHeight="1">
      <c r="A88" s="13">
        <v>45597</v>
      </c>
      <c r="B88" s="12">
        <v>2680</v>
      </c>
      <c r="C88" s="12">
        <v>2197.6</v>
      </c>
      <c r="D88" s="3"/>
    </row>
    <row r="89" spans="1:4" ht="18" customHeight="1">
      <c r="A89" s="13">
        <v>45627</v>
      </c>
      <c r="B89" s="12">
        <v>2700</v>
      </c>
      <c r="C89" s="12">
        <v>2214</v>
      </c>
      <c r="D89" s="3">
        <v>0.82</v>
      </c>
    </row>
    <row r="90" spans="1:4" ht="18" customHeight="1">
      <c r="A90" s="13">
        <v>45658</v>
      </c>
      <c r="B90" s="12">
        <v>2720</v>
      </c>
      <c r="C90" s="12">
        <v>2230.4</v>
      </c>
      <c r="D90" s="3">
        <v>0.8200000000000001</v>
      </c>
    </row>
    <row r="91" spans="1:4" ht="18" customHeight="1">
      <c r="A91" s="13">
        <v>45689</v>
      </c>
      <c r="B91" s="12">
        <v>2740</v>
      </c>
      <c r="C91" s="12">
        <v>2246.8</v>
      </c>
      <c r="D91" s="3">
        <v>0.8200000000000001</v>
      </c>
    </row>
    <row r="92" spans="1:4" ht="18" customHeight="1">
      <c r="A92" s="13">
        <v>45717</v>
      </c>
      <c r="B92" s="12">
        <v>2760</v>
      </c>
      <c r="C92" s="12">
        <v>2263.2</v>
      </c>
      <c r="D92" s="3">
        <v>0.82</v>
      </c>
    </row>
    <row r="93" spans="1:4" ht="18" customHeight="1">
      <c r="A93" s="13">
        <v>45748</v>
      </c>
      <c r="B93" s="12">
        <v>2780</v>
      </c>
      <c r="C93" s="12">
        <v>2279.6</v>
      </c>
      <c r="D93" s="3">
        <v>0.82</v>
      </c>
    </row>
    <row r="94" spans="1:4" ht="18" customHeight="1">
      <c r="A94" s="13">
        <v>45778</v>
      </c>
      <c r="B94" s="12">
        <v>2800</v>
      </c>
      <c r="C94" s="12">
        <v>2296</v>
      </c>
      <c r="D94" s="3">
        <v>0.82</v>
      </c>
    </row>
    <row r="95" spans="1:4" ht="18" customHeight="1">
      <c r="A95" s="13">
        <v>45809</v>
      </c>
      <c r="B95" s="12">
        <v>2820</v>
      </c>
      <c r="C95" s="12">
        <v>2312.4</v>
      </c>
      <c r="D95" s="3">
        <v>0.8200000000000001</v>
      </c>
    </row>
    <row r="96" spans="1:4" ht="18" customHeight="1">
      <c r="A96" s="13">
        <v>45839</v>
      </c>
      <c r="B96" s="12">
        <v>2840</v>
      </c>
      <c r="C96" s="12">
        <v>2328.8</v>
      </c>
      <c r="D96" s="3">
        <v>0.8200000000000001</v>
      </c>
    </row>
    <row r="97" spans="1:4" ht="18" customHeight="1">
      <c r="A97" s="13">
        <v>45870</v>
      </c>
      <c r="B97" s="12">
        <v>2860</v>
      </c>
      <c r="C97" s="12">
        <v>2345.2</v>
      </c>
      <c r="D97" s="3">
        <v>0.82</v>
      </c>
    </row>
    <row r="98" spans="1:4" ht="18" customHeight="1">
      <c r="A98" s="13">
        <v>45901</v>
      </c>
      <c r="B98" s="12">
        <v>2880</v>
      </c>
      <c r="C98" s="12">
        <v>2361.6</v>
      </c>
      <c r="D98" s="3">
        <v>0.82</v>
      </c>
    </row>
    <row r="99" spans="1:4" ht="18" customHeight="1">
      <c r="A99" s="13">
        <v>45931</v>
      </c>
      <c r="B99" s="12">
        <v>2900</v>
      </c>
      <c r="C99" s="12">
        <v>2378</v>
      </c>
      <c r="D99" s="3">
        <v>0.82</v>
      </c>
    </row>
    <row r="100" spans="1:4" ht="18" customHeight="1">
      <c r="A100" s="13">
        <v>45962</v>
      </c>
      <c r="B100" s="12">
        <v>2920</v>
      </c>
      <c r="C100" s="12">
        <v>2394.4</v>
      </c>
      <c r="D100" s="3">
        <v>0.8200000000000001</v>
      </c>
    </row>
    <row r="101" spans="1:4" ht="18" customHeight="1">
      <c r="A101" s="13">
        <v>45992</v>
      </c>
      <c r="B101" s="12">
        <v>2940</v>
      </c>
      <c r="C101" s="12">
        <v>2410.8</v>
      </c>
      <c r="D101" s="3">
        <v>0.8200000000000001</v>
      </c>
    </row>
  </sheetData>
  <mergeCells count="2">
    <mergeCell ref="A1:F1"/>
    <mergeCell ref="A53:F5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7.7109375" style="2" customWidth="1"/>
    <col min="2" max="2" width="15.7109375" style="2" customWidth="1"/>
    <col min="3" max="3" width="30.7109375" style="2" customWidth="1"/>
    <col min="4" max="4" width="10.7109375" style="2" customWidth="1"/>
    <col min="5" max="5" width="12.7109375" style="2" customWidth="1"/>
    <col min="6" max="6" width="31.7109375" style="2" customWidth="1"/>
    <col min="7" max="7" width="25.7109375" style="2" customWidth="1"/>
    <col min="8" max="8" width="24.7109375" style="2" customWidth="1"/>
    <col min="9" max="9" width="25.7109375" style="2" customWidth="1"/>
    <col min="10" max="10" width="14.7109375" style="2" customWidth="1"/>
    <col min="11" max="11" width="30.7109375" style="2" customWidth="1"/>
    <col min="12" max="12" width="36.7109375" style="2" customWidth="1"/>
    <col min="13" max="13" width="12.7109375" style="2" customWidth="1"/>
    <col min="14" max="15" width="20.7109375" style="4" customWidth="1"/>
    <col min="16" max="16" width="32.7109375" style="2" customWidth="1"/>
    <col min="17" max="17" width="20.7109375" style="4" customWidth="1"/>
    <col min="18" max="20" width="18.7109375" style="3" customWidth="1"/>
    <col min="21" max="21" width="17.7109375" style="2" customWidth="1"/>
    <col min="22" max="22" width="37.7109375" style="2" customWidth="1"/>
    <col min="23" max="23" width="36.7109375" style="2" customWidth="1"/>
  </cols>
  <sheetData>
    <row r="1" spans="1:23">
      <c r="A1" s="5" t="s">
        <v>120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23">
      <c r="A2" s="6" t="s">
        <v>1</v>
      </c>
      <c r="B2" s="6" t="s">
        <v>84</v>
      </c>
      <c r="C2" s="6" t="s">
        <v>91</v>
      </c>
      <c r="D2" s="6" t="s">
        <v>87</v>
      </c>
      <c r="E2" s="6" t="s">
        <v>34</v>
      </c>
      <c r="F2" s="6" t="s">
        <v>92</v>
      </c>
      <c r="G2" s="6" t="s">
        <v>93</v>
      </c>
      <c r="H2" s="6" t="s">
        <v>94</v>
      </c>
      <c r="I2" s="6" t="s">
        <v>95</v>
      </c>
      <c r="J2" s="6" t="s">
        <v>96</v>
      </c>
      <c r="K2" s="6" t="s">
        <v>97</v>
      </c>
      <c r="L2" s="6" t="s">
        <v>98</v>
      </c>
      <c r="M2" s="6" t="s">
        <v>99</v>
      </c>
      <c r="N2" s="6" t="s">
        <v>100</v>
      </c>
      <c r="O2" s="6" t="s">
        <v>101</v>
      </c>
      <c r="P2" s="6" t="s">
        <v>102</v>
      </c>
      <c r="Q2" s="6" t="s">
        <v>103</v>
      </c>
      <c r="R2" s="6" t="s">
        <v>104</v>
      </c>
      <c r="S2" s="6" t="s">
        <v>105</v>
      </c>
      <c r="T2" s="6" t="s">
        <v>106</v>
      </c>
      <c r="U2" s="6" t="s">
        <v>107</v>
      </c>
      <c r="V2" s="6" t="s">
        <v>108</v>
      </c>
      <c r="W2" s="6" t="s">
        <v>109</v>
      </c>
    </row>
    <row r="3" spans="1:23">
      <c r="A3" s="2" t="s">
        <v>28</v>
      </c>
      <c r="B3" s="2" t="s">
        <v>110</v>
      </c>
      <c r="C3" s="2" t="s">
        <v>114</v>
      </c>
      <c r="D3" s="2" t="s">
        <v>116</v>
      </c>
      <c r="E3" s="2" t="s">
        <v>35</v>
      </c>
      <c r="F3" s="2" t="s">
        <v>35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1</v>
      </c>
      <c r="M3" s="2" t="s">
        <v>117</v>
      </c>
      <c r="N3" s="4">
        <v>15060</v>
      </c>
      <c r="O3" s="4">
        <v>12349.2</v>
      </c>
      <c r="P3" s="2">
        <v>12349.2</v>
      </c>
      <c r="Q3" s="4">
        <v>12349.2</v>
      </c>
      <c r="R3" s="3">
        <v>0.5164609053497943</v>
      </c>
      <c r="S3" s="3">
        <v>0.5164609053497943</v>
      </c>
      <c r="T3" s="3">
        <v>0.5164609053497943</v>
      </c>
      <c r="U3" s="2" t="s">
        <v>118</v>
      </c>
      <c r="V3" s="2">
        <v>29160</v>
      </c>
      <c r="W3" s="2">
        <v>2</v>
      </c>
    </row>
    <row r="4" spans="1:23">
      <c r="A4" s="2" t="s">
        <v>28</v>
      </c>
      <c r="B4" s="2" t="s">
        <v>111</v>
      </c>
      <c r="C4" s="2" t="s">
        <v>114</v>
      </c>
      <c r="D4" s="2" t="s">
        <v>116</v>
      </c>
      <c r="E4" s="2" t="s">
        <v>35</v>
      </c>
      <c r="F4" s="2" t="s">
        <v>35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  <c r="M4" s="2" t="s">
        <v>117</v>
      </c>
      <c r="N4" s="4">
        <v>14100</v>
      </c>
      <c r="O4" s="4">
        <v>11562</v>
      </c>
      <c r="P4" s="2">
        <v>11562</v>
      </c>
      <c r="Q4" s="4">
        <v>11562</v>
      </c>
      <c r="R4" s="3">
        <v>0.4835390946502058</v>
      </c>
      <c r="S4" s="3">
        <v>0.4835390946502057</v>
      </c>
      <c r="T4" s="3">
        <v>0.4835390946502057</v>
      </c>
      <c r="U4" s="2" t="s">
        <v>118</v>
      </c>
      <c r="V4" s="2">
        <v>29160</v>
      </c>
      <c r="W4" s="2">
        <v>2</v>
      </c>
    </row>
    <row r="5" spans="1:23">
      <c r="A5" s="2" t="s">
        <v>27</v>
      </c>
      <c r="B5" s="2" t="s">
        <v>112</v>
      </c>
      <c r="C5" s="2" t="s">
        <v>115</v>
      </c>
      <c r="D5" s="2" t="s">
        <v>116</v>
      </c>
      <c r="E5" s="2" t="s">
        <v>35</v>
      </c>
      <c r="F5" s="2" t="s">
        <v>35</v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1</v>
      </c>
      <c r="M5" s="2" t="s">
        <v>117</v>
      </c>
      <c r="N5" s="4">
        <v>17460</v>
      </c>
      <c r="O5" s="4">
        <v>14317.2</v>
      </c>
      <c r="P5" s="2">
        <v>14317.2</v>
      </c>
      <c r="Q5" s="4">
        <v>14317.2</v>
      </c>
      <c r="R5" s="3">
        <v>0.5141342756183745</v>
      </c>
      <c r="S5" s="3">
        <v>0.5141342756183745</v>
      </c>
      <c r="T5" s="3">
        <v>0.5141342756183745</v>
      </c>
      <c r="U5" s="2" t="s">
        <v>119</v>
      </c>
      <c r="V5" s="2">
        <v>33960</v>
      </c>
      <c r="W5" s="2">
        <v>2</v>
      </c>
    </row>
    <row r="6" spans="1:23">
      <c r="A6" s="2" t="s">
        <v>27</v>
      </c>
      <c r="B6" s="2" t="s">
        <v>113</v>
      </c>
      <c r="C6" s="2" t="s">
        <v>115</v>
      </c>
      <c r="D6" s="2" t="s">
        <v>116</v>
      </c>
      <c r="E6" s="2" t="s">
        <v>35</v>
      </c>
      <c r="F6" s="2" t="s">
        <v>35</v>
      </c>
      <c r="G6" s="2" t="b">
        <v>1</v>
      </c>
      <c r="H6" s="2" t="b">
        <v>1</v>
      </c>
      <c r="I6" s="2" t="b">
        <v>1</v>
      </c>
      <c r="J6" s="2" t="b">
        <v>1</v>
      </c>
      <c r="K6" s="2" t="b">
        <v>1</v>
      </c>
      <c r="L6" s="2" t="b">
        <v>1</v>
      </c>
      <c r="M6" s="2" t="s">
        <v>117</v>
      </c>
      <c r="N6" s="4">
        <v>16500</v>
      </c>
      <c r="O6" s="4">
        <v>13530</v>
      </c>
      <c r="P6" s="2">
        <v>13530</v>
      </c>
      <c r="Q6" s="4">
        <v>13530</v>
      </c>
      <c r="R6" s="3">
        <v>0.4858657243816255</v>
      </c>
      <c r="S6" s="3">
        <v>0.4858657243816255</v>
      </c>
      <c r="T6" s="3">
        <v>0.4858657243816255</v>
      </c>
      <c r="U6" s="2" t="s">
        <v>119</v>
      </c>
      <c r="V6" s="2">
        <v>33960</v>
      </c>
      <c r="W6" s="2">
        <v>2</v>
      </c>
    </row>
  </sheetData>
  <autoFilter ref="A2:W6"/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8"/>
  <sheetViews>
    <sheetView workbookViewId="0"/>
  </sheetViews>
  <sheetFormatPr defaultRowHeight="15"/>
  <cols>
    <col min="1" max="3" width="17.7109375" style="2" customWidth="1"/>
    <col min="4" max="5" width="10.7109375" style="2" customWidth="1"/>
    <col min="6" max="6" width="15.7109375" style="2" customWidth="1"/>
    <col min="7" max="7" width="16.7109375" style="16" customWidth="1"/>
    <col min="8" max="8" width="14.7109375" style="4" customWidth="1"/>
    <col min="9" max="9" width="19.7109375" style="4" customWidth="1"/>
  </cols>
  <sheetData>
    <row r="1" spans="1:9">
      <c r="A1" s="5" t="s">
        <v>126</v>
      </c>
      <c r="B1" s="5"/>
      <c r="C1" s="5"/>
      <c r="D1" s="5"/>
      <c r="E1" s="5"/>
      <c r="F1" s="5"/>
      <c r="G1" s="5"/>
      <c r="H1" s="5"/>
      <c r="I1" s="5"/>
    </row>
    <row r="2" spans="1:9">
      <c r="A2" s="6" t="s">
        <v>121</v>
      </c>
      <c r="B2" s="6" t="s">
        <v>1</v>
      </c>
      <c r="C2" s="6" t="s">
        <v>107</v>
      </c>
      <c r="D2" s="6" t="s">
        <v>57</v>
      </c>
      <c r="E2" s="6" t="s">
        <v>122</v>
      </c>
      <c r="F2" s="6" t="s">
        <v>123</v>
      </c>
      <c r="G2" s="6" t="s">
        <v>53</v>
      </c>
      <c r="H2" s="6" t="s">
        <v>124</v>
      </c>
      <c r="I2" s="6" t="s">
        <v>125</v>
      </c>
    </row>
    <row r="3" spans="1:9">
      <c r="A3" s="2" t="s">
        <v>26</v>
      </c>
      <c r="B3" s="2" t="s">
        <v>28</v>
      </c>
      <c r="C3" s="2" t="s">
        <v>118</v>
      </c>
      <c r="D3" s="2" t="s">
        <v>79</v>
      </c>
      <c r="E3" s="2" t="s">
        <v>81</v>
      </c>
      <c r="F3" s="2" t="s">
        <v>111</v>
      </c>
      <c r="G3" s="17">
        <v>45292</v>
      </c>
      <c r="H3" s="4">
        <v>2024</v>
      </c>
      <c r="I3" s="4">
        <v>820</v>
      </c>
    </row>
    <row r="4" spans="1:9">
      <c r="A4" s="2" t="s">
        <v>26</v>
      </c>
      <c r="B4" s="2" t="s">
        <v>28</v>
      </c>
      <c r="C4" s="2" t="s">
        <v>118</v>
      </c>
      <c r="D4" s="2" t="s">
        <v>79</v>
      </c>
      <c r="E4" s="2" t="s">
        <v>81</v>
      </c>
      <c r="F4" s="2" t="s">
        <v>111</v>
      </c>
      <c r="G4" s="17">
        <v>45323</v>
      </c>
      <c r="H4" s="4">
        <v>2024</v>
      </c>
      <c r="I4" s="4">
        <v>828.1999999999999</v>
      </c>
    </row>
    <row r="5" spans="1:9">
      <c r="A5" s="2" t="s">
        <v>26</v>
      </c>
      <c r="B5" s="2" t="s">
        <v>28</v>
      </c>
      <c r="C5" s="2" t="s">
        <v>118</v>
      </c>
      <c r="D5" s="2" t="s">
        <v>79</v>
      </c>
      <c r="E5" s="2" t="s">
        <v>81</v>
      </c>
      <c r="F5" s="2" t="s">
        <v>111</v>
      </c>
      <c r="G5" s="17">
        <v>45352</v>
      </c>
      <c r="H5" s="4">
        <v>2024</v>
      </c>
      <c r="I5" s="4">
        <v>836.4</v>
      </c>
    </row>
    <row r="6" spans="1:9">
      <c r="A6" s="2" t="s">
        <v>26</v>
      </c>
      <c r="B6" s="2" t="s">
        <v>28</v>
      </c>
      <c r="C6" s="2" t="s">
        <v>118</v>
      </c>
      <c r="D6" s="2" t="s">
        <v>79</v>
      </c>
      <c r="E6" s="2" t="s">
        <v>81</v>
      </c>
      <c r="F6" s="2" t="s">
        <v>111</v>
      </c>
      <c r="G6" s="17">
        <v>45383</v>
      </c>
      <c r="H6" s="4">
        <v>2024</v>
      </c>
      <c r="I6" s="4">
        <v>844.5999999999999</v>
      </c>
    </row>
    <row r="7" spans="1:9">
      <c r="A7" s="2" t="s">
        <v>26</v>
      </c>
      <c r="B7" s="2" t="s">
        <v>28</v>
      </c>
      <c r="C7" s="2" t="s">
        <v>118</v>
      </c>
      <c r="D7" s="2" t="s">
        <v>79</v>
      </c>
      <c r="E7" s="2" t="s">
        <v>81</v>
      </c>
      <c r="F7" s="2" t="s">
        <v>111</v>
      </c>
      <c r="G7" s="17">
        <v>45413</v>
      </c>
      <c r="H7" s="4">
        <v>2024</v>
      </c>
      <c r="I7" s="4">
        <v>852.8</v>
      </c>
    </row>
    <row r="8" spans="1:9">
      <c r="A8" s="2" t="s">
        <v>26</v>
      </c>
      <c r="B8" s="2" t="s">
        <v>28</v>
      </c>
      <c r="C8" s="2" t="s">
        <v>118</v>
      </c>
      <c r="D8" s="2" t="s">
        <v>79</v>
      </c>
      <c r="E8" s="2" t="s">
        <v>81</v>
      </c>
      <c r="F8" s="2" t="s">
        <v>111</v>
      </c>
      <c r="G8" s="17">
        <v>45444</v>
      </c>
      <c r="H8" s="4">
        <v>2024</v>
      </c>
      <c r="I8" s="4">
        <v>861</v>
      </c>
    </row>
    <row r="9" spans="1:9">
      <c r="A9" s="2" t="s">
        <v>26</v>
      </c>
      <c r="B9" s="2" t="s">
        <v>28</v>
      </c>
      <c r="C9" s="2" t="s">
        <v>118</v>
      </c>
      <c r="D9" s="2" t="s">
        <v>79</v>
      </c>
      <c r="E9" s="2" t="s">
        <v>81</v>
      </c>
      <c r="F9" s="2" t="s">
        <v>111</v>
      </c>
      <c r="G9" s="17">
        <v>45474</v>
      </c>
      <c r="H9" s="4">
        <v>2024</v>
      </c>
      <c r="I9" s="4">
        <v>869.1999999999999</v>
      </c>
    </row>
    <row r="10" spans="1:9">
      <c r="A10" s="2" t="s">
        <v>26</v>
      </c>
      <c r="B10" s="2" t="s">
        <v>28</v>
      </c>
      <c r="C10" s="2" t="s">
        <v>118</v>
      </c>
      <c r="D10" s="2" t="s">
        <v>79</v>
      </c>
      <c r="E10" s="2" t="s">
        <v>81</v>
      </c>
      <c r="F10" s="2" t="s">
        <v>111</v>
      </c>
      <c r="G10" s="17">
        <v>45505</v>
      </c>
      <c r="H10" s="4">
        <v>2024</v>
      </c>
      <c r="I10" s="4">
        <v>877.4</v>
      </c>
    </row>
    <row r="11" spans="1:9">
      <c r="A11" s="2" t="s">
        <v>26</v>
      </c>
      <c r="B11" s="2" t="s">
        <v>28</v>
      </c>
      <c r="C11" s="2" t="s">
        <v>118</v>
      </c>
      <c r="D11" s="2" t="s">
        <v>79</v>
      </c>
      <c r="E11" s="2" t="s">
        <v>81</v>
      </c>
      <c r="F11" s="2" t="s">
        <v>111</v>
      </c>
      <c r="G11" s="17">
        <v>45536</v>
      </c>
      <c r="H11" s="4">
        <v>2024</v>
      </c>
      <c r="I11" s="4">
        <v>885.5999999999999</v>
      </c>
    </row>
    <row r="12" spans="1:9">
      <c r="A12" s="2" t="s">
        <v>26</v>
      </c>
      <c r="B12" s="2" t="s">
        <v>28</v>
      </c>
      <c r="C12" s="2" t="s">
        <v>118</v>
      </c>
      <c r="D12" s="2" t="s">
        <v>79</v>
      </c>
      <c r="E12" s="2" t="s">
        <v>81</v>
      </c>
      <c r="F12" s="2" t="s">
        <v>111</v>
      </c>
      <c r="G12" s="17">
        <v>45566</v>
      </c>
      <c r="H12" s="4">
        <v>2024</v>
      </c>
      <c r="I12" s="4">
        <v>893.8</v>
      </c>
    </row>
    <row r="13" spans="1:9">
      <c r="A13" s="2" t="s">
        <v>26</v>
      </c>
      <c r="B13" s="2" t="s">
        <v>28</v>
      </c>
      <c r="C13" s="2" t="s">
        <v>118</v>
      </c>
      <c r="D13" s="2" t="s">
        <v>79</v>
      </c>
      <c r="E13" s="2" t="s">
        <v>81</v>
      </c>
      <c r="F13" s="2" t="s">
        <v>111</v>
      </c>
      <c r="G13" s="17">
        <v>45597</v>
      </c>
      <c r="H13" s="4">
        <v>2024</v>
      </c>
      <c r="I13" s="4">
        <v>902</v>
      </c>
    </row>
    <row r="14" spans="1:9">
      <c r="A14" s="2" t="s">
        <v>26</v>
      </c>
      <c r="B14" s="2" t="s">
        <v>28</v>
      </c>
      <c r="C14" s="2" t="s">
        <v>118</v>
      </c>
      <c r="D14" s="2" t="s">
        <v>79</v>
      </c>
      <c r="E14" s="2" t="s">
        <v>81</v>
      </c>
      <c r="F14" s="2" t="s">
        <v>111</v>
      </c>
      <c r="G14" s="17">
        <v>45627</v>
      </c>
      <c r="H14" s="4">
        <v>2024</v>
      </c>
      <c r="I14" s="4">
        <v>910.1999999999999</v>
      </c>
    </row>
    <row r="15" spans="1:9">
      <c r="A15" s="2" t="s">
        <v>26</v>
      </c>
      <c r="B15" s="2" t="s">
        <v>28</v>
      </c>
      <c r="C15" s="2" t="s">
        <v>118</v>
      </c>
      <c r="D15" s="2" t="s">
        <v>79</v>
      </c>
      <c r="E15" s="2" t="s">
        <v>81</v>
      </c>
      <c r="F15" s="2" t="s">
        <v>111</v>
      </c>
      <c r="G15" s="17">
        <v>45658</v>
      </c>
      <c r="H15" s="4">
        <v>2025</v>
      </c>
      <c r="I15" s="4">
        <v>918.4</v>
      </c>
    </row>
    <row r="16" spans="1:9">
      <c r="A16" s="2" t="s">
        <v>26</v>
      </c>
      <c r="B16" s="2" t="s">
        <v>28</v>
      </c>
      <c r="C16" s="2" t="s">
        <v>118</v>
      </c>
      <c r="D16" s="2" t="s">
        <v>79</v>
      </c>
      <c r="E16" s="2" t="s">
        <v>81</v>
      </c>
      <c r="F16" s="2" t="s">
        <v>111</v>
      </c>
      <c r="G16" s="17">
        <v>45689</v>
      </c>
      <c r="H16" s="4">
        <v>2025</v>
      </c>
      <c r="I16" s="4">
        <v>926.5999999999999</v>
      </c>
    </row>
    <row r="17" spans="1:9">
      <c r="A17" s="2" t="s">
        <v>26</v>
      </c>
      <c r="B17" s="2" t="s">
        <v>28</v>
      </c>
      <c r="C17" s="2" t="s">
        <v>118</v>
      </c>
      <c r="D17" s="2" t="s">
        <v>79</v>
      </c>
      <c r="E17" s="2" t="s">
        <v>81</v>
      </c>
      <c r="F17" s="2" t="s">
        <v>111</v>
      </c>
      <c r="G17" s="17">
        <v>45717</v>
      </c>
      <c r="H17" s="4">
        <v>2025</v>
      </c>
      <c r="I17" s="4">
        <v>934.8</v>
      </c>
    </row>
    <row r="18" spans="1:9">
      <c r="A18" s="2" t="s">
        <v>26</v>
      </c>
      <c r="B18" s="2" t="s">
        <v>28</v>
      </c>
      <c r="C18" s="2" t="s">
        <v>118</v>
      </c>
      <c r="D18" s="2" t="s">
        <v>79</v>
      </c>
      <c r="E18" s="2" t="s">
        <v>81</v>
      </c>
      <c r="F18" s="2" t="s">
        <v>111</v>
      </c>
      <c r="G18" s="17">
        <v>45748</v>
      </c>
      <c r="H18" s="4">
        <v>2025</v>
      </c>
      <c r="I18" s="4">
        <v>943</v>
      </c>
    </row>
    <row r="19" spans="1:9">
      <c r="A19" s="2" t="s">
        <v>26</v>
      </c>
      <c r="B19" s="2" t="s">
        <v>28</v>
      </c>
      <c r="C19" s="2" t="s">
        <v>118</v>
      </c>
      <c r="D19" s="2" t="s">
        <v>79</v>
      </c>
      <c r="E19" s="2" t="s">
        <v>81</v>
      </c>
      <c r="F19" s="2" t="s">
        <v>111</v>
      </c>
      <c r="G19" s="17">
        <v>45778</v>
      </c>
      <c r="H19" s="4">
        <v>2025</v>
      </c>
      <c r="I19" s="4">
        <v>951.1999999999999</v>
      </c>
    </row>
    <row r="20" spans="1:9">
      <c r="A20" s="2" t="s">
        <v>26</v>
      </c>
      <c r="B20" s="2" t="s">
        <v>28</v>
      </c>
      <c r="C20" s="2" t="s">
        <v>118</v>
      </c>
      <c r="D20" s="2" t="s">
        <v>79</v>
      </c>
      <c r="E20" s="2" t="s">
        <v>81</v>
      </c>
      <c r="F20" s="2" t="s">
        <v>111</v>
      </c>
      <c r="G20" s="17">
        <v>45809</v>
      </c>
      <c r="H20" s="4">
        <v>2025</v>
      </c>
      <c r="I20" s="4">
        <v>959.4</v>
      </c>
    </row>
    <row r="21" spans="1:9">
      <c r="A21" s="2" t="s">
        <v>26</v>
      </c>
      <c r="B21" s="2" t="s">
        <v>28</v>
      </c>
      <c r="C21" s="2" t="s">
        <v>118</v>
      </c>
      <c r="D21" s="2" t="s">
        <v>79</v>
      </c>
      <c r="E21" s="2" t="s">
        <v>81</v>
      </c>
      <c r="F21" s="2" t="s">
        <v>111</v>
      </c>
      <c r="G21" s="17">
        <v>45839</v>
      </c>
      <c r="H21" s="4">
        <v>2025</v>
      </c>
      <c r="I21" s="4">
        <v>967.5999999999999</v>
      </c>
    </row>
    <row r="22" spans="1:9">
      <c r="A22" s="2" t="s">
        <v>26</v>
      </c>
      <c r="B22" s="2" t="s">
        <v>28</v>
      </c>
      <c r="C22" s="2" t="s">
        <v>118</v>
      </c>
      <c r="D22" s="2" t="s">
        <v>79</v>
      </c>
      <c r="E22" s="2" t="s">
        <v>81</v>
      </c>
      <c r="F22" s="2" t="s">
        <v>111</v>
      </c>
      <c r="G22" s="17">
        <v>45870</v>
      </c>
      <c r="H22" s="4">
        <v>2025</v>
      </c>
      <c r="I22" s="4">
        <v>975.8</v>
      </c>
    </row>
    <row r="23" spans="1:9">
      <c r="A23" s="2" t="s">
        <v>26</v>
      </c>
      <c r="B23" s="2" t="s">
        <v>28</v>
      </c>
      <c r="C23" s="2" t="s">
        <v>118</v>
      </c>
      <c r="D23" s="2" t="s">
        <v>79</v>
      </c>
      <c r="E23" s="2" t="s">
        <v>81</v>
      </c>
      <c r="F23" s="2" t="s">
        <v>111</v>
      </c>
      <c r="G23" s="17">
        <v>45901</v>
      </c>
      <c r="H23" s="4">
        <v>2025</v>
      </c>
      <c r="I23" s="4">
        <v>983.9999999999999</v>
      </c>
    </row>
    <row r="24" spans="1:9">
      <c r="A24" s="2" t="s">
        <v>26</v>
      </c>
      <c r="B24" s="2" t="s">
        <v>28</v>
      </c>
      <c r="C24" s="2" t="s">
        <v>118</v>
      </c>
      <c r="D24" s="2" t="s">
        <v>79</v>
      </c>
      <c r="E24" s="2" t="s">
        <v>81</v>
      </c>
      <c r="F24" s="2" t="s">
        <v>111</v>
      </c>
      <c r="G24" s="17">
        <v>45931</v>
      </c>
      <c r="H24" s="4">
        <v>2025</v>
      </c>
      <c r="I24" s="4">
        <v>992.1999999999999</v>
      </c>
    </row>
    <row r="25" spans="1:9">
      <c r="A25" s="2" t="s">
        <v>26</v>
      </c>
      <c r="B25" s="2" t="s">
        <v>28</v>
      </c>
      <c r="C25" s="2" t="s">
        <v>118</v>
      </c>
      <c r="D25" s="2" t="s">
        <v>79</v>
      </c>
      <c r="E25" s="2" t="s">
        <v>81</v>
      </c>
      <c r="F25" s="2" t="s">
        <v>111</v>
      </c>
      <c r="G25" s="17">
        <v>45962</v>
      </c>
      <c r="H25" s="4">
        <v>2025</v>
      </c>
      <c r="I25" s="4">
        <v>1000.4</v>
      </c>
    </row>
    <row r="26" spans="1:9">
      <c r="A26" s="2" t="s">
        <v>26</v>
      </c>
      <c r="B26" s="2" t="s">
        <v>28</v>
      </c>
      <c r="C26" s="2" t="s">
        <v>118</v>
      </c>
      <c r="D26" s="2" t="s">
        <v>79</v>
      </c>
      <c r="E26" s="2" t="s">
        <v>81</v>
      </c>
      <c r="F26" s="2" t="s">
        <v>111</v>
      </c>
      <c r="G26" s="17">
        <v>45992</v>
      </c>
      <c r="H26" s="4">
        <v>2025</v>
      </c>
      <c r="I26" s="4">
        <v>1008.6</v>
      </c>
    </row>
    <row r="27" spans="1:9">
      <c r="A27" s="2" t="s">
        <v>26</v>
      </c>
      <c r="B27" s="2" t="s">
        <v>28</v>
      </c>
      <c r="C27" s="2" t="s">
        <v>118</v>
      </c>
      <c r="D27" s="2" t="s">
        <v>79</v>
      </c>
      <c r="E27" s="2" t="s">
        <v>81</v>
      </c>
      <c r="F27" s="2" t="s">
        <v>110</v>
      </c>
      <c r="G27" s="17">
        <v>45292</v>
      </c>
      <c r="H27" s="4">
        <v>2024</v>
      </c>
      <c r="I27" s="4">
        <v>885.5999999999999</v>
      </c>
    </row>
    <row r="28" spans="1:9">
      <c r="A28" s="2" t="s">
        <v>26</v>
      </c>
      <c r="B28" s="2" t="s">
        <v>28</v>
      </c>
      <c r="C28" s="2" t="s">
        <v>118</v>
      </c>
      <c r="D28" s="2" t="s">
        <v>79</v>
      </c>
      <c r="E28" s="2" t="s">
        <v>81</v>
      </c>
      <c r="F28" s="2" t="s">
        <v>110</v>
      </c>
      <c r="G28" s="17">
        <v>45323</v>
      </c>
      <c r="H28" s="4">
        <v>2024</v>
      </c>
      <c r="I28" s="4">
        <v>893.8</v>
      </c>
    </row>
    <row r="29" spans="1:9">
      <c r="A29" s="2" t="s">
        <v>26</v>
      </c>
      <c r="B29" s="2" t="s">
        <v>28</v>
      </c>
      <c r="C29" s="2" t="s">
        <v>118</v>
      </c>
      <c r="D29" s="2" t="s">
        <v>79</v>
      </c>
      <c r="E29" s="2" t="s">
        <v>81</v>
      </c>
      <c r="F29" s="2" t="s">
        <v>110</v>
      </c>
      <c r="G29" s="17">
        <v>45352</v>
      </c>
      <c r="H29" s="4">
        <v>2024</v>
      </c>
      <c r="I29" s="4">
        <v>902</v>
      </c>
    </row>
    <row r="30" spans="1:9">
      <c r="A30" s="2" t="s">
        <v>26</v>
      </c>
      <c r="B30" s="2" t="s">
        <v>28</v>
      </c>
      <c r="C30" s="2" t="s">
        <v>118</v>
      </c>
      <c r="D30" s="2" t="s">
        <v>79</v>
      </c>
      <c r="E30" s="2" t="s">
        <v>81</v>
      </c>
      <c r="F30" s="2" t="s">
        <v>110</v>
      </c>
      <c r="G30" s="17">
        <v>45383</v>
      </c>
      <c r="H30" s="4">
        <v>2024</v>
      </c>
      <c r="I30" s="4">
        <v>910.1999999999999</v>
      </c>
    </row>
    <row r="31" spans="1:9">
      <c r="A31" s="2" t="s">
        <v>26</v>
      </c>
      <c r="B31" s="2" t="s">
        <v>28</v>
      </c>
      <c r="C31" s="2" t="s">
        <v>118</v>
      </c>
      <c r="D31" s="2" t="s">
        <v>79</v>
      </c>
      <c r="E31" s="2" t="s">
        <v>81</v>
      </c>
      <c r="F31" s="2" t="s">
        <v>110</v>
      </c>
      <c r="G31" s="17">
        <v>45413</v>
      </c>
      <c r="H31" s="4">
        <v>2024</v>
      </c>
      <c r="I31" s="4">
        <v>918.4</v>
      </c>
    </row>
    <row r="32" spans="1:9">
      <c r="A32" s="2" t="s">
        <v>26</v>
      </c>
      <c r="B32" s="2" t="s">
        <v>28</v>
      </c>
      <c r="C32" s="2" t="s">
        <v>118</v>
      </c>
      <c r="D32" s="2" t="s">
        <v>79</v>
      </c>
      <c r="E32" s="2" t="s">
        <v>81</v>
      </c>
      <c r="F32" s="2" t="s">
        <v>110</v>
      </c>
      <c r="G32" s="17">
        <v>45444</v>
      </c>
      <c r="H32" s="4">
        <v>2024</v>
      </c>
      <c r="I32" s="4">
        <v>926.5999999999999</v>
      </c>
    </row>
    <row r="33" spans="1:9">
      <c r="A33" s="2" t="s">
        <v>26</v>
      </c>
      <c r="B33" s="2" t="s">
        <v>28</v>
      </c>
      <c r="C33" s="2" t="s">
        <v>118</v>
      </c>
      <c r="D33" s="2" t="s">
        <v>79</v>
      </c>
      <c r="E33" s="2" t="s">
        <v>81</v>
      </c>
      <c r="F33" s="2" t="s">
        <v>110</v>
      </c>
      <c r="G33" s="17">
        <v>45474</v>
      </c>
      <c r="H33" s="4">
        <v>2024</v>
      </c>
      <c r="I33" s="4">
        <v>934.8</v>
      </c>
    </row>
    <row r="34" spans="1:9">
      <c r="A34" s="2" t="s">
        <v>26</v>
      </c>
      <c r="B34" s="2" t="s">
        <v>28</v>
      </c>
      <c r="C34" s="2" t="s">
        <v>118</v>
      </c>
      <c r="D34" s="2" t="s">
        <v>79</v>
      </c>
      <c r="E34" s="2" t="s">
        <v>81</v>
      </c>
      <c r="F34" s="2" t="s">
        <v>110</v>
      </c>
      <c r="G34" s="17">
        <v>45505</v>
      </c>
      <c r="H34" s="4">
        <v>2024</v>
      </c>
      <c r="I34" s="4">
        <v>943</v>
      </c>
    </row>
    <row r="35" spans="1:9">
      <c r="A35" s="2" t="s">
        <v>26</v>
      </c>
      <c r="B35" s="2" t="s">
        <v>28</v>
      </c>
      <c r="C35" s="2" t="s">
        <v>118</v>
      </c>
      <c r="D35" s="2" t="s">
        <v>79</v>
      </c>
      <c r="E35" s="2" t="s">
        <v>81</v>
      </c>
      <c r="F35" s="2" t="s">
        <v>110</v>
      </c>
      <c r="G35" s="17">
        <v>45536</v>
      </c>
      <c r="H35" s="4">
        <v>2024</v>
      </c>
      <c r="I35" s="4">
        <v>951.1999999999999</v>
      </c>
    </row>
    <row r="36" spans="1:9">
      <c r="A36" s="2" t="s">
        <v>26</v>
      </c>
      <c r="B36" s="2" t="s">
        <v>28</v>
      </c>
      <c r="C36" s="2" t="s">
        <v>118</v>
      </c>
      <c r="D36" s="2" t="s">
        <v>79</v>
      </c>
      <c r="E36" s="2" t="s">
        <v>81</v>
      </c>
      <c r="F36" s="2" t="s">
        <v>110</v>
      </c>
      <c r="G36" s="17">
        <v>45566</v>
      </c>
      <c r="H36" s="4">
        <v>2024</v>
      </c>
      <c r="I36" s="4">
        <v>959.4</v>
      </c>
    </row>
    <row r="37" spans="1:9">
      <c r="A37" s="2" t="s">
        <v>26</v>
      </c>
      <c r="B37" s="2" t="s">
        <v>28</v>
      </c>
      <c r="C37" s="2" t="s">
        <v>118</v>
      </c>
      <c r="D37" s="2" t="s">
        <v>79</v>
      </c>
      <c r="E37" s="2" t="s">
        <v>81</v>
      </c>
      <c r="F37" s="2" t="s">
        <v>110</v>
      </c>
      <c r="G37" s="17">
        <v>45597</v>
      </c>
      <c r="H37" s="4">
        <v>2024</v>
      </c>
      <c r="I37" s="4">
        <v>967.5999999999999</v>
      </c>
    </row>
    <row r="38" spans="1:9">
      <c r="A38" s="2" t="s">
        <v>26</v>
      </c>
      <c r="B38" s="2" t="s">
        <v>28</v>
      </c>
      <c r="C38" s="2" t="s">
        <v>118</v>
      </c>
      <c r="D38" s="2" t="s">
        <v>79</v>
      </c>
      <c r="E38" s="2" t="s">
        <v>81</v>
      </c>
      <c r="F38" s="2" t="s">
        <v>110</v>
      </c>
      <c r="G38" s="17">
        <v>45627</v>
      </c>
      <c r="H38" s="4">
        <v>2024</v>
      </c>
      <c r="I38" s="4">
        <v>975.8</v>
      </c>
    </row>
    <row r="39" spans="1:9">
      <c r="A39" s="2" t="s">
        <v>26</v>
      </c>
      <c r="B39" s="2" t="s">
        <v>28</v>
      </c>
      <c r="C39" s="2" t="s">
        <v>118</v>
      </c>
      <c r="D39" s="2" t="s">
        <v>79</v>
      </c>
      <c r="E39" s="2" t="s">
        <v>81</v>
      </c>
      <c r="F39" s="2" t="s">
        <v>110</v>
      </c>
      <c r="G39" s="17">
        <v>45658</v>
      </c>
      <c r="H39" s="4">
        <v>2025</v>
      </c>
      <c r="I39" s="4">
        <v>983.9999999999999</v>
      </c>
    </row>
    <row r="40" spans="1:9">
      <c r="A40" s="2" t="s">
        <v>26</v>
      </c>
      <c r="B40" s="2" t="s">
        <v>28</v>
      </c>
      <c r="C40" s="2" t="s">
        <v>118</v>
      </c>
      <c r="D40" s="2" t="s">
        <v>79</v>
      </c>
      <c r="E40" s="2" t="s">
        <v>81</v>
      </c>
      <c r="F40" s="2" t="s">
        <v>110</v>
      </c>
      <c r="G40" s="17">
        <v>45689</v>
      </c>
      <c r="H40" s="4">
        <v>2025</v>
      </c>
      <c r="I40" s="4">
        <v>992.1999999999999</v>
      </c>
    </row>
    <row r="41" spans="1:9">
      <c r="A41" s="2" t="s">
        <v>26</v>
      </c>
      <c r="B41" s="2" t="s">
        <v>28</v>
      </c>
      <c r="C41" s="2" t="s">
        <v>118</v>
      </c>
      <c r="D41" s="2" t="s">
        <v>79</v>
      </c>
      <c r="E41" s="2" t="s">
        <v>81</v>
      </c>
      <c r="F41" s="2" t="s">
        <v>110</v>
      </c>
      <c r="G41" s="17">
        <v>45717</v>
      </c>
      <c r="H41" s="4">
        <v>2025</v>
      </c>
      <c r="I41" s="4">
        <v>1000.4</v>
      </c>
    </row>
    <row r="42" spans="1:9">
      <c r="A42" s="2" t="s">
        <v>26</v>
      </c>
      <c r="B42" s="2" t="s">
        <v>28</v>
      </c>
      <c r="C42" s="2" t="s">
        <v>118</v>
      </c>
      <c r="D42" s="2" t="s">
        <v>79</v>
      </c>
      <c r="E42" s="2" t="s">
        <v>81</v>
      </c>
      <c r="F42" s="2" t="s">
        <v>110</v>
      </c>
      <c r="G42" s="17">
        <v>45748</v>
      </c>
      <c r="H42" s="4">
        <v>2025</v>
      </c>
      <c r="I42" s="4">
        <v>1008.6</v>
      </c>
    </row>
    <row r="43" spans="1:9">
      <c r="A43" s="2" t="s">
        <v>26</v>
      </c>
      <c r="B43" s="2" t="s">
        <v>28</v>
      </c>
      <c r="C43" s="2" t="s">
        <v>118</v>
      </c>
      <c r="D43" s="2" t="s">
        <v>79</v>
      </c>
      <c r="E43" s="2" t="s">
        <v>81</v>
      </c>
      <c r="F43" s="2" t="s">
        <v>110</v>
      </c>
      <c r="G43" s="17">
        <v>45778</v>
      </c>
      <c r="H43" s="4">
        <v>2025</v>
      </c>
      <c r="I43" s="4">
        <v>1016.8</v>
      </c>
    </row>
    <row r="44" spans="1:9">
      <c r="A44" s="2" t="s">
        <v>26</v>
      </c>
      <c r="B44" s="2" t="s">
        <v>28</v>
      </c>
      <c r="C44" s="2" t="s">
        <v>118</v>
      </c>
      <c r="D44" s="2" t="s">
        <v>79</v>
      </c>
      <c r="E44" s="2" t="s">
        <v>81</v>
      </c>
      <c r="F44" s="2" t="s">
        <v>110</v>
      </c>
      <c r="G44" s="17">
        <v>45809</v>
      </c>
      <c r="H44" s="4">
        <v>2025</v>
      </c>
      <c r="I44" s="4">
        <v>1025</v>
      </c>
    </row>
    <row r="45" spans="1:9">
      <c r="A45" s="2" t="s">
        <v>26</v>
      </c>
      <c r="B45" s="2" t="s">
        <v>28</v>
      </c>
      <c r="C45" s="2" t="s">
        <v>118</v>
      </c>
      <c r="D45" s="2" t="s">
        <v>79</v>
      </c>
      <c r="E45" s="2" t="s">
        <v>81</v>
      </c>
      <c r="F45" s="2" t="s">
        <v>110</v>
      </c>
      <c r="G45" s="17">
        <v>45839</v>
      </c>
      <c r="H45" s="4">
        <v>2025</v>
      </c>
      <c r="I45" s="4">
        <v>1033.2</v>
      </c>
    </row>
    <row r="46" spans="1:9">
      <c r="A46" s="2" t="s">
        <v>26</v>
      </c>
      <c r="B46" s="2" t="s">
        <v>28</v>
      </c>
      <c r="C46" s="2" t="s">
        <v>118</v>
      </c>
      <c r="D46" s="2" t="s">
        <v>79</v>
      </c>
      <c r="E46" s="2" t="s">
        <v>81</v>
      </c>
      <c r="F46" s="2" t="s">
        <v>110</v>
      </c>
      <c r="G46" s="17">
        <v>45870</v>
      </c>
      <c r="H46" s="4">
        <v>2025</v>
      </c>
      <c r="I46" s="4">
        <v>1041.4</v>
      </c>
    </row>
    <row r="47" spans="1:9">
      <c r="A47" s="2" t="s">
        <v>26</v>
      </c>
      <c r="B47" s="2" t="s">
        <v>28</v>
      </c>
      <c r="C47" s="2" t="s">
        <v>118</v>
      </c>
      <c r="D47" s="2" t="s">
        <v>79</v>
      </c>
      <c r="E47" s="2" t="s">
        <v>81</v>
      </c>
      <c r="F47" s="2" t="s">
        <v>110</v>
      </c>
      <c r="G47" s="17">
        <v>45901</v>
      </c>
      <c r="H47" s="4">
        <v>2025</v>
      </c>
      <c r="I47" s="4">
        <v>1049.6</v>
      </c>
    </row>
    <row r="48" spans="1:9">
      <c r="A48" s="2" t="s">
        <v>26</v>
      </c>
      <c r="B48" s="2" t="s">
        <v>28</v>
      </c>
      <c r="C48" s="2" t="s">
        <v>118</v>
      </c>
      <c r="D48" s="2" t="s">
        <v>79</v>
      </c>
      <c r="E48" s="2" t="s">
        <v>81</v>
      </c>
      <c r="F48" s="2" t="s">
        <v>110</v>
      </c>
      <c r="G48" s="17">
        <v>45931</v>
      </c>
      <c r="H48" s="4">
        <v>2025</v>
      </c>
      <c r="I48" s="4">
        <v>1057.8</v>
      </c>
    </row>
    <row r="49" spans="1:9">
      <c r="A49" s="2" t="s">
        <v>26</v>
      </c>
      <c r="B49" s="2" t="s">
        <v>28</v>
      </c>
      <c r="C49" s="2" t="s">
        <v>118</v>
      </c>
      <c r="D49" s="2" t="s">
        <v>79</v>
      </c>
      <c r="E49" s="2" t="s">
        <v>81</v>
      </c>
      <c r="F49" s="2" t="s">
        <v>110</v>
      </c>
      <c r="G49" s="17">
        <v>45962</v>
      </c>
      <c r="H49" s="4">
        <v>2025</v>
      </c>
      <c r="I49" s="4">
        <v>1066</v>
      </c>
    </row>
    <row r="50" spans="1:9">
      <c r="A50" s="2" t="s">
        <v>26</v>
      </c>
      <c r="B50" s="2" t="s">
        <v>28</v>
      </c>
      <c r="C50" s="2" t="s">
        <v>118</v>
      </c>
      <c r="D50" s="2" t="s">
        <v>79</v>
      </c>
      <c r="E50" s="2" t="s">
        <v>81</v>
      </c>
      <c r="F50" s="2" t="s">
        <v>110</v>
      </c>
      <c r="G50" s="17">
        <v>45992</v>
      </c>
      <c r="H50" s="4">
        <v>2025</v>
      </c>
      <c r="I50" s="4">
        <v>1074.2</v>
      </c>
    </row>
    <row r="51" spans="1:9">
      <c r="A51" s="2" t="s">
        <v>25</v>
      </c>
      <c r="B51" s="2" t="s">
        <v>27</v>
      </c>
      <c r="C51" s="2" t="s">
        <v>119</v>
      </c>
      <c r="D51" s="2" t="s">
        <v>79</v>
      </c>
      <c r="E51" s="2" t="s">
        <v>81</v>
      </c>
      <c r="F51" s="2" t="s">
        <v>113</v>
      </c>
      <c r="G51" s="17">
        <v>45292</v>
      </c>
      <c r="H51" s="4">
        <v>2024</v>
      </c>
      <c r="I51" s="4">
        <v>983.9999999999999</v>
      </c>
    </row>
    <row r="52" spans="1:9">
      <c r="A52" s="2" t="s">
        <v>25</v>
      </c>
      <c r="B52" s="2" t="s">
        <v>27</v>
      </c>
      <c r="C52" s="2" t="s">
        <v>119</v>
      </c>
      <c r="D52" s="2" t="s">
        <v>79</v>
      </c>
      <c r="E52" s="2" t="s">
        <v>81</v>
      </c>
      <c r="F52" s="2" t="s">
        <v>113</v>
      </c>
      <c r="G52" s="17">
        <v>45323</v>
      </c>
      <c r="H52" s="4">
        <v>2024</v>
      </c>
      <c r="I52" s="4">
        <v>992.1999999999999</v>
      </c>
    </row>
    <row r="53" spans="1:9">
      <c r="A53" s="2" t="s">
        <v>25</v>
      </c>
      <c r="B53" s="2" t="s">
        <v>27</v>
      </c>
      <c r="C53" s="2" t="s">
        <v>119</v>
      </c>
      <c r="D53" s="2" t="s">
        <v>79</v>
      </c>
      <c r="E53" s="2" t="s">
        <v>81</v>
      </c>
      <c r="F53" s="2" t="s">
        <v>113</v>
      </c>
      <c r="G53" s="17">
        <v>45352</v>
      </c>
      <c r="H53" s="4">
        <v>2024</v>
      </c>
      <c r="I53" s="4">
        <v>1000.4</v>
      </c>
    </row>
    <row r="54" spans="1:9">
      <c r="A54" s="2" t="s">
        <v>25</v>
      </c>
      <c r="B54" s="2" t="s">
        <v>27</v>
      </c>
      <c r="C54" s="2" t="s">
        <v>119</v>
      </c>
      <c r="D54" s="2" t="s">
        <v>79</v>
      </c>
      <c r="E54" s="2" t="s">
        <v>81</v>
      </c>
      <c r="F54" s="2" t="s">
        <v>113</v>
      </c>
      <c r="G54" s="17">
        <v>45383</v>
      </c>
      <c r="H54" s="4">
        <v>2024</v>
      </c>
      <c r="I54" s="4">
        <v>1008.6</v>
      </c>
    </row>
    <row r="55" spans="1:9">
      <c r="A55" s="2" t="s">
        <v>25</v>
      </c>
      <c r="B55" s="2" t="s">
        <v>27</v>
      </c>
      <c r="C55" s="2" t="s">
        <v>119</v>
      </c>
      <c r="D55" s="2" t="s">
        <v>79</v>
      </c>
      <c r="E55" s="2" t="s">
        <v>81</v>
      </c>
      <c r="F55" s="2" t="s">
        <v>113</v>
      </c>
      <c r="G55" s="17">
        <v>45413</v>
      </c>
      <c r="H55" s="4">
        <v>2024</v>
      </c>
      <c r="I55" s="4">
        <v>1016.8</v>
      </c>
    </row>
    <row r="56" spans="1:9">
      <c r="A56" s="2" t="s">
        <v>25</v>
      </c>
      <c r="B56" s="2" t="s">
        <v>27</v>
      </c>
      <c r="C56" s="2" t="s">
        <v>119</v>
      </c>
      <c r="D56" s="2" t="s">
        <v>79</v>
      </c>
      <c r="E56" s="2" t="s">
        <v>81</v>
      </c>
      <c r="F56" s="2" t="s">
        <v>113</v>
      </c>
      <c r="G56" s="17">
        <v>45444</v>
      </c>
      <c r="H56" s="4">
        <v>2024</v>
      </c>
      <c r="I56" s="4">
        <v>1025</v>
      </c>
    </row>
    <row r="57" spans="1:9">
      <c r="A57" s="2" t="s">
        <v>25</v>
      </c>
      <c r="B57" s="2" t="s">
        <v>27</v>
      </c>
      <c r="C57" s="2" t="s">
        <v>119</v>
      </c>
      <c r="D57" s="2" t="s">
        <v>79</v>
      </c>
      <c r="E57" s="2" t="s">
        <v>81</v>
      </c>
      <c r="F57" s="2" t="s">
        <v>113</v>
      </c>
      <c r="G57" s="17">
        <v>45474</v>
      </c>
      <c r="H57" s="4">
        <v>2024</v>
      </c>
      <c r="I57" s="4">
        <v>1033.2</v>
      </c>
    </row>
    <row r="58" spans="1:9">
      <c r="A58" s="2" t="s">
        <v>25</v>
      </c>
      <c r="B58" s="2" t="s">
        <v>27</v>
      </c>
      <c r="C58" s="2" t="s">
        <v>119</v>
      </c>
      <c r="D58" s="2" t="s">
        <v>79</v>
      </c>
      <c r="E58" s="2" t="s">
        <v>81</v>
      </c>
      <c r="F58" s="2" t="s">
        <v>113</v>
      </c>
      <c r="G58" s="17">
        <v>45505</v>
      </c>
      <c r="H58" s="4">
        <v>2024</v>
      </c>
      <c r="I58" s="4">
        <v>1041.4</v>
      </c>
    </row>
    <row r="59" spans="1:9">
      <c r="A59" s="2" t="s">
        <v>25</v>
      </c>
      <c r="B59" s="2" t="s">
        <v>27</v>
      </c>
      <c r="C59" s="2" t="s">
        <v>119</v>
      </c>
      <c r="D59" s="2" t="s">
        <v>79</v>
      </c>
      <c r="E59" s="2" t="s">
        <v>81</v>
      </c>
      <c r="F59" s="2" t="s">
        <v>113</v>
      </c>
      <c r="G59" s="17">
        <v>45536</v>
      </c>
      <c r="H59" s="4">
        <v>2024</v>
      </c>
      <c r="I59" s="4">
        <v>1049.6</v>
      </c>
    </row>
    <row r="60" spans="1:9">
      <c r="A60" s="2" t="s">
        <v>25</v>
      </c>
      <c r="B60" s="2" t="s">
        <v>27</v>
      </c>
      <c r="C60" s="2" t="s">
        <v>119</v>
      </c>
      <c r="D60" s="2" t="s">
        <v>79</v>
      </c>
      <c r="E60" s="2" t="s">
        <v>81</v>
      </c>
      <c r="F60" s="2" t="s">
        <v>113</v>
      </c>
      <c r="G60" s="17">
        <v>45566</v>
      </c>
      <c r="H60" s="4">
        <v>2024</v>
      </c>
      <c r="I60" s="4">
        <v>1057.8</v>
      </c>
    </row>
    <row r="61" spans="1:9">
      <c r="A61" s="2" t="s">
        <v>25</v>
      </c>
      <c r="B61" s="2" t="s">
        <v>27</v>
      </c>
      <c r="C61" s="2" t="s">
        <v>119</v>
      </c>
      <c r="D61" s="2" t="s">
        <v>79</v>
      </c>
      <c r="E61" s="2" t="s">
        <v>81</v>
      </c>
      <c r="F61" s="2" t="s">
        <v>113</v>
      </c>
      <c r="G61" s="17">
        <v>45597</v>
      </c>
      <c r="H61" s="4">
        <v>2024</v>
      </c>
      <c r="I61" s="4">
        <v>1066</v>
      </c>
    </row>
    <row r="62" spans="1:9">
      <c r="A62" s="2" t="s">
        <v>25</v>
      </c>
      <c r="B62" s="2" t="s">
        <v>27</v>
      </c>
      <c r="C62" s="2" t="s">
        <v>119</v>
      </c>
      <c r="D62" s="2" t="s">
        <v>79</v>
      </c>
      <c r="E62" s="2" t="s">
        <v>81</v>
      </c>
      <c r="F62" s="2" t="s">
        <v>113</v>
      </c>
      <c r="G62" s="17">
        <v>45627</v>
      </c>
      <c r="H62" s="4">
        <v>2024</v>
      </c>
      <c r="I62" s="4">
        <v>1074.2</v>
      </c>
    </row>
    <row r="63" spans="1:9">
      <c r="A63" s="2" t="s">
        <v>25</v>
      </c>
      <c r="B63" s="2" t="s">
        <v>27</v>
      </c>
      <c r="C63" s="2" t="s">
        <v>119</v>
      </c>
      <c r="D63" s="2" t="s">
        <v>79</v>
      </c>
      <c r="E63" s="2" t="s">
        <v>81</v>
      </c>
      <c r="F63" s="2" t="s">
        <v>113</v>
      </c>
      <c r="G63" s="17">
        <v>45658</v>
      </c>
      <c r="H63" s="4">
        <v>2025</v>
      </c>
      <c r="I63" s="4">
        <v>1082.4</v>
      </c>
    </row>
    <row r="64" spans="1:9">
      <c r="A64" s="2" t="s">
        <v>25</v>
      </c>
      <c r="B64" s="2" t="s">
        <v>27</v>
      </c>
      <c r="C64" s="2" t="s">
        <v>119</v>
      </c>
      <c r="D64" s="2" t="s">
        <v>79</v>
      </c>
      <c r="E64" s="2" t="s">
        <v>81</v>
      </c>
      <c r="F64" s="2" t="s">
        <v>113</v>
      </c>
      <c r="G64" s="17">
        <v>45689</v>
      </c>
      <c r="H64" s="4">
        <v>2025</v>
      </c>
      <c r="I64" s="4">
        <v>1090.6</v>
      </c>
    </row>
    <row r="65" spans="1:9">
      <c r="A65" s="2" t="s">
        <v>25</v>
      </c>
      <c r="B65" s="2" t="s">
        <v>27</v>
      </c>
      <c r="C65" s="2" t="s">
        <v>119</v>
      </c>
      <c r="D65" s="2" t="s">
        <v>79</v>
      </c>
      <c r="E65" s="2" t="s">
        <v>81</v>
      </c>
      <c r="F65" s="2" t="s">
        <v>113</v>
      </c>
      <c r="G65" s="17">
        <v>45717</v>
      </c>
      <c r="H65" s="4">
        <v>2025</v>
      </c>
      <c r="I65" s="4">
        <v>1098.8</v>
      </c>
    </row>
    <row r="66" spans="1:9">
      <c r="A66" s="2" t="s">
        <v>25</v>
      </c>
      <c r="B66" s="2" t="s">
        <v>27</v>
      </c>
      <c r="C66" s="2" t="s">
        <v>119</v>
      </c>
      <c r="D66" s="2" t="s">
        <v>79</v>
      </c>
      <c r="E66" s="2" t="s">
        <v>81</v>
      </c>
      <c r="F66" s="2" t="s">
        <v>113</v>
      </c>
      <c r="G66" s="17">
        <v>45748</v>
      </c>
      <c r="H66" s="4">
        <v>2025</v>
      </c>
      <c r="I66" s="4">
        <v>1107</v>
      </c>
    </row>
    <row r="67" spans="1:9">
      <c r="A67" s="2" t="s">
        <v>25</v>
      </c>
      <c r="B67" s="2" t="s">
        <v>27</v>
      </c>
      <c r="C67" s="2" t="s">
        <v>119</v>
      </c>
      <c r="D67" s="2" t="s">
        <v>79</v>
      </c>
      <c r="E67" s="2" t="s">
        <v>81</v>
      </c>
      <c r="F67" s="2" t="s">
        <v>113</v>
      </c>
      <c r="G67" s="17">
        <v>45778</v>
      </c>
      <c r="H67" s="4">
        <v>2025</v>
      </c>
      <c r="I67" s="4">
        <v>1115.2</v>
      </c>
    </row>
    <row r="68" spans="1:9">
      <c r="A68" s="2" t="s">
        <v>25</v>
      </c>
      <c r="B68" s="2" t="s">
        <v>27</v>
      </c>
      <c r="C68" s="2" t="s">
        <v>119</v>
      </c>
      <c r="D68" s="2" t="s">
        <v>79</v>
      </c>
      <c r="E68" s="2" t="s">
        <v>81</v>
      </c>
      <c r="F68" s="2" t="s">
        <v>113</v>
      </c>
      <c r="G68" s="17">
        <v>45809</v>
      </c>
      <c r="H68" s="4">
        <v>2025</v>
      </c>
      <c r="I68" s="4">
        <v>1123.4</v>
      </c>
    </row>
    <row r="69" spans="1:9">
      <c r="A69" s="2" t="s">
        <v>25</v>
      </c>
      <c r="B69" s="2" t="s">
        <v>27</v>
      </c>
      <c r="C69" s="2" t="s">
        <v>119</v>
      </c>
      <c r="D69" s="2" t="s">
        <v>79</v>
      </c>
      <c r="E69" s="2" t="s">
        <v>81</v>
      </c>
      <c r="F69" s="2" t="s">
        <v>113</v>
      </c>
      <c r="G69" s="17">
        <v>45839</v>
      </c>
      <c r="H69" s="4">
        <v>2025</v>
      </c>
      <c r="I69" s="4">
        <v>1131.6</v>
      </c>
    </row>
    <row r="70" spans="1:9">
      <c r="A70" s="2" t="s">
        <v>25</v>
      </c>
      <c r="B70" s="2" t="s">
        <v>27</v>
      </c>
      <c r="C70" s="2" t="s">
        <v>119</v>
      </c>
      <c r="D70" s="2" t="s">
        <v>79</v>
      </c>
      <c r="E70" s="2" t="s">
        <v>81</v>
      </c>
      <c r="F70" s="2" t="s">
        <v>113</v>
      </c>
      <c r="G70" s="17">
        <v>45870</v>
      </c>
      <c r="H70" s="4">
        <v>2025</v>
      </c>
      <c r="I70" s="4">
        <v>1139.8</v>
      </c>
    </row>
    <row r="71" spans="1:9">
      <c r="A71" s="2" t="s">
        <v>25</v>
      </c>
      <c r="B71" s="2" t="s">
        <v>27</v>
      </c>
      <c r="C71" s="2" t="s">
        <v>119</v>
      </c>
      <c r="D71" s="2" t="s">
        <v>79</v>
      </c>
      <c r="E71" s="2" t="s">
        <v>81</v>
      </c>
      <c r="F71" s="2" t="s">
        <v>113</v>
      </c>
      <c r="G71" s="17">
        <v>45901</v>
      </c>
      <c r="H71" s="4">
        <v>2025</v>
      </c>
      <c r="I71" s="4">
        <v>1148</v>
      </c>
    </row>
    <row r="72" spans="1:9">
      <c r="A72" s="2" t="s">
        <v>25</v>
      </c>
      <c r="B72" s="2" t="s">
        <v>27</v>
      </c>
      <c r="C72" s="2" t="s">
        <v>119</v>
      </c>
      <c r="D72" s="2" t="s">
        <v>79</v>
      </c>
      <c r="E72" s="2" t="s">
        <v>81</v>
      </c>
      <c r="F72" s="2" t="s">
        <v>113</v>
      </c>
      <c r="G72" s="17">
        <v>45931</v>
      </c>
      <c r="H72" s="4">
        <v>2025</v>
      </c>
      <c r="I72" s="4">
        <v>1156.2</v>
      </c>
    </row>
    <row r="73" spans="1:9">
      <c r="A73" s="2" t="s">
        <v>25</v>
      </c>
      <c r="B73" s="2" t="s">
        <v>27</v>
      </c>
      <c r="C73" s="2" t="s">
        <v>119</v>
      </c>
      <c r="D73" s="2" t="s">
        <v>79</v>
      </c>
      <c r="E73" s="2" t="s">
        <v>81</v>
      </c>
      <c r="F73" s="2" t="s">
        <v>113</v>
      </c>
      <c r="G73" s="17">
        <v>45962</v>
      </c>
      <c r="H73" s="4">
        <v>2025</v>
      </c>
      <c r="I73" s="4">
        <v>1164.4</v>
      </c>
    </row>
    <row r="74" spans="1:9">
      <c r="A74" s="2" t="s">
        <v>25</v>
      </c>
      <c r="B74" s="2" t="s">
        <v>27</v>
      </c>
      <c r="C74" s="2" t="s">
        <v>119</v>
      </c>
      <c r="D74" s="2" t="s">
        <v>79</v>
      </c>
      <c r="E74" s="2" t="s">
        <v>81</v>
      </c>
      <c r="F74" s="2" t="s">
        <v>113</v>
      </c>
      <c r="G74" s="17">
        <v>45992</v>
      </c>
      <c r="H74" s="4">
        <v>2025</v>
      </c>
      <c r="I74" s="4">
        <v>1172.6</v>
      </c>
    </row>
    <row r="75" spans="1:9">
      <c r="A75" s="2" t="s">
        <v>25</v>
      </c>
      <c r="B75" s="2" t="s">
        <v>27</v>
      </c>
      <c r="C75" s="2" t="s">
        <v>119</v>
      </c>
      <c r="D75" s="2" t="s">
        <v>79</v>
      </c>
      <c r="E75" s="2" t="s">
        <v>81</v>
      </c>
      <c r="F75" s="2" t="s">
        <v>112</v>
      </c>
      <c r="G75" s="17">
        <v>45292</v>
      </c>
      <c r="H75" s="4">
        <v>2024</v>
      </c>
      <c r="I75" s="4">
        <v>1049.6</v>
      </c>
    </row>
    <row r="76" spans="1:9">
      <c r="A76" s="2" t="s">
        <v>25</v>
      </c>
      <c r="B76" s="2" t="s">
        <v>27</v>
      </c>
      <c r="C76" s="2" t="s">
        <v>119</v>
      </c>
      <c r="D76" s="2" t="s">
        <v>79</v>
      </c>
      <c r="E76" s="2" t="s">
        <v>81</v>
      </c>
      <c r="F76" s="2" t="s">
        <v>112</v>
      </c>
      <c r="G76" s="17">
        <v>45323</v>
      </c>
      <c r="H76" s="4">
        <v>2024</v>
      </c>
      <c r="I76" s="4">
        <v>1057.8</v>
      </c>
    </row>
    <row r="77" spans="1:9">
      <c r="A77" s="2" t="s">
        <v>25</v>
      </c>
      <c r="B77" s="2" t="s">
        <v>27</v>
      </c>
      <c r="C77" s="2" t="s">
        <v>119</v>
      </c>
      <c r="D77" s="2" t="s">
        <v>79</v>
      </c>
      <c r="E77" s="2" t="s">
        <v>81</v>
      </c>
      <c r="F77" s="2" t="s">
        <v>112</v>
      </c>
      <c r="G77" s="17">
        <v>45352</v>
      </c>
      <c r="H77" s="4">
        <v>2024</v>
      </c>
      <c r="I77" s="4">
        <v>1066</v>
      </c>
    </row>
    <row r="78" spans="1:9">
      <c r="A78" s="2" t="s">
        <v>25</v>
      </c>
      <c r="B78" s="2" t="s">
        <v>27</v>
      </c>
      <c r="C78" s="2" t="s">
        <v>119</v>
      </c>
      <c r="D78" s="2" t="s">
        <v>79</v>
      </c>
      <c r="E78" s="2" t="s">
        <v>81</v>
      </c>
      <c r="F78" s="2" t="s">
        <v>112</v>
      </c>
      <c r="G78" s="17">
        <v>45383</v>
      </c>
      <c r="H78" s="4">
        <v>2024</v>
      </c>
      <c r="I78" s="4">
        <v>1074.2</v>
      </c>
    </row>
    <row r="79" spans="1:9">
      <c r="A79" s="2" t="s">
        <v>25</v>
      </c>
      <c r="B79" s="2" t="s">
        <v>27</v>
      </c>
      <c r="C79" s="2" t="s">
        <v>119</v>
      </c>
      <c r="D79" s="2" t="s">
        <v>79</v>
      </c>
      <c r="E79" s="2" t="s">
        <v>81</v>
      </c>
      <c r="F79" s="2" t="s">
        <v>112</v>
      </c>
      <c r="G79" s="17">
        <v>45413</v>
      </c>
      <c r="H79" s="4">
        <v>2024</v>
      </c>
      <c r="I79" s="4">
        <v>1082.4</v>
      </c>
    </row>
    <row r="80" spans="1:9">
      <c r="A80" s="2" t="s">
        <v>25</v>
      </c>
      <c r="B80" s="2" t="s">
        <v>27</v>
      </c>
      <c r="C80" s="2" t="s">
        <v>119</v>
      </c>
      <c r="D80" s="2" t="s">
        <v>79</v>
      </c>
      <c r="E80" s="2" t="s">
        <v>81</v>
      </c>
      <c r="F80" s="2" t="s">
        <v>112</v>
      </c>
      <c r="G80" s="17">
        <v>45444</v>
      </c>
      <c r="H80" s="4">
        <v>2024</v>
      </c>
      <c r="I80" s="4">
        <v>1090.6</v>
      </c>
    </row>
    <row r="81" spans="1:9">
      <c r="A81" s="2" t="s">
        <v>25</v>
      </c>
      <c r="B81" s="2" t="s">
        <v>27</v>
      </c>
      <c r="C81" s="2" t="s">
        <v>119</v>
      </c>
      <c r="D81" s="2" t="s">
        <v>79</v>
      </c>
      <c r="E81" s="2" t="s">
        <v>81</v>
      </c>
      <c r="F81" s="2" t="s">
        <v>112</v>
      </c>
      <c r="G81" s="17">
        <v>45474</v>
      </c>
      <c r="H81" s="4">
        <v>2024</v>
      </c>
      <c r="I81" s="4">
        <v>1098.8</v>
      </c>
    </row>
    <row r="82" spans="1:9">
      <c r="A82" s="2" t="s">
        <v>25</v>
      </c>
      <c r="B82" s="2" t="s">
        <v>27</v>
      </c>
      <c r="C82" s="2" t="s">
        <v>119</v>
      </c>
      <c r="D82" s="2" t="s">
        <v>79</v>
      </c>
      <c r="E82" s="2" t="s">
        <v>81</v>
      </c>
      <c r="F82" s="2" t="s">
        <v>112</v>
      </c>
      <c r="G82" s="17">
        <v>45505</v>
      </c>
      <c r="H82" s="4">
        <v>2024</v>
      </c>
      <c r="I82" s="4">
        <v>1107</v>
      </c>
    </row>
    <row r="83" spans="1:9">
      <c r="A83" s="2" t="s">
        <v>25</v>
      </c>
      <c r="B83" s="2" t="s">
        <v>27</v>
      </c>
      <c r="C83" s="2" t="s">
        <v>119</v>
      </c>
      <c r="D83" s="2" t="s">
        <v>79</v>
      </c>
      <c r="E83" s="2" t="s">
        <v>81</v>
      </c>
      <c r="F83" s="2" t="s">
        <v>112</v>
      </c>
      <c r="G83" s="17">
        <v>45536</v>
      </c>
      <c r="H83" s="4">
        <v>2024</v>
      </c>
      <c r="I83" s="4">
        <v>1115.2</v>
      </c>
    </row>
    <row r="84" spans="1:9">
      <c r="A84" s="2" t="s">
        <v>25</v>
      </c>
      <c r="B84" s="2" t="s">
        <v>27</v>
      </c>
      <c r="C84" s="2" t="s">
        <v>119</v>
      </c>
      <c r="D84" s="2" t="s">
        <v>79</v>
      </c>
      <c r="E84" s="2" t="s">
        <v>81</v>
      </c>
      <c r="F84" s="2" t="s">
        <v>112</v>
      </c>
      <c r="G84" s="17">
        <v>45566</v>
      </c>
      <c r="H84" s="4">
        <v>2024</v>
      </c>
      <c r="I84" s="4">
        <v>1123.4</v>
      </c>
    </row>
    <row r="85" spans="1:9">
      <c r="A85" s="2" t="s">
        <v>25</v>
      </c>
      <c r="B85" s="2" t="s">
        <v>27</v>
      </c>
      <c r="C85" s="2" t="s">
        <v>119</v>
      </c>
      <c r="D85" s="2" t="s">
        <v>79</v>
      </c>
      <c r="E85" s="2" t="s">
        <v>81</v>
      </c>
      <c r="F85" s="2" t="s">
        <v>112</v>
      </c>
      <c r="G85" s="17">
        <v>45597</v>
      </c>
      <c r="H85" s="4">
        <v>2024</v>
      </c>
      <c r="I85" s="4">
        <v>1131.6</v>
      </c>
    </row>
    <row r="86" spans="1:9">
      <c r="A86" s="2" t="s">
        <v>25</v>
      </c>
      <c r="B86" s="2" t="s">
        <v>27</v>
      </c>
      <c r="C86" s="2" t="s">
        <v>119</v>
      </c>
      <c r="D86" s="2" t="s">
        <v>79</v>
      </c>
      <c r="E86" s="2" t="s">
        <v>81</v>
      </c>
      <c r="F86" s="2" t="s">
        <v>112</v>
      </c>
      <c r="G86" s="17">
        <v>45627</v>
      </c>
      <c r="H86" s="4">
        <v>2024</v>
      </c>
      <c r="I86" s="4">
        <v>1139.8</v>
      </c>
    </row>
    <row r="87" spans="1:9">
      <c r="A87" s="2" t="s">
        <v>25</v>
      </c>
      <c r="B87" s="2" t="s">
        <v>27</v>
      </c>
      <c r="C87" s="2" t="s">
        <v>119</v>
      </c>
      <c r="D87" s="2" t="s">
        <v>79</v>
      </c>
      <c r="E87" s="2" t="s">
        <v>81</v>
      </c>
      <c r="F87" s="2" t="s">
        <v>112</v>
      </c>
      <c r="G87" s="17">
        <v>45658</v>
      </c>
      <c r="H87" s="4">
        <v>2025</v>
      </c>
      <c r="I87" s="4">
        <v>1148</v>
      </c>
    </row>
    <row r="88" spans="1:9">
      <c r="A88" s="2" t="s">
        <v>25</v>
      </c>
      <c r="B88" s="2" t="s">
        <v>27</v>
      </c>
      <c r="C88" s="2" t="s">
        <v>119</v>
      </c>
      <c r="D88" s="2" t="s">
        <v>79</v>
      </c>
      <c r="E88" s="2" t="s">
        <v>81</v>
      </c>
      <c r="F88" s="2" t="s">
        <v>112</v>
      </c>
      <c r="G88" s="17">
        <v>45689</v>
      </c>
      <c r="H88" s="4">
        <v>2025</v>
      </c>
      <c r="I88" s="4">
        <v>1156.2</v>
      </c>
    </row>
    <row r="89" spans="1:9">
      <c r="A89" s="2" t="s">
        <v>25</v>
      </c>
      <c r="B89" s="2" t="s">
        <v>27</v>
      </c>
      <c r="C89" s="2" t="s">
        <v>119</v>
      </c>
      <c r="D89" s="2" t="s">
        <v>79</v>
      </c>
      <c r="E89" s="2" t="s">
        <v>81</v>
      </c>
      <c r="F89" s="2" t="s">
        <v>112</v>
      </c>
      <c r="G89" s="17">
        <v>45717</v>
      </c>
      <c r="H89" s="4">
        <v>2025</v>
      </c>
      <c r="I89" s="4">
        <v>1164.4</v>
      </c>
    </row>
    <row r="90" spans="1:9">
      <c r="A90" s="2" t="s">
        <v>25</v>
      </c>
      <c r="B90" s="2" t="s">
        <v>27</v>
      </c>
      <c r="C90" s="2" t="s">
        <v>119</v>
      </c>
      <c r="D90" s="2" t="s">
        <v>79</v>
      </c>
      <c r="E90" s="2" t="s">
        <v>81</v>
      </c>
      <c r="F90" s="2" t="s">
        <v>112</v>
      </c>
      <c r="G90" s="17">
        <v>45748</v>
      </c>
      <c r="H90" s="4">
        <v>2025</v>
      </c>
      <c r="I90" s="4">
        <v>1172.6</v>
      </c>
    </row>
    <row r="91" spans="1:9">
      <c r="A91" s="2" t="s">
        <v>25</v>
      </c>
      <c r="B91" s="2" t="s">
        <v>27</v>
      </c>
      <c r="C91" s="2" t="s">
        <v>119</v>
      </c>
      <c r="D91" s="2" t="s">
        <v>79</v>
      </c>
      <c r="E91" s="2" t="s">
        <v>81</v>
      </c>
      <c r="F91" s="2" t="s">
        <v>112</v>
      </c>
      <c r="G91" s="17">
        <v>45778</v>
      </c>
      <c r="H91" s="4">
        <v>2025</v>
      </c>
      <c r="I91" s="4">
        <v>1180.8</v>
      </c>
    </row>
    <row r="92" spans="1:9">
      <c r="A92" s="2" t="s">
        <v>25</v>
      </c>
      <c r="B92" s="2" t="s">
        <v>27</v>
      </c>
      <c r="C92" s="2" t="s">
        <v>119</v>
      </c>
      <c r="D92" s="2" t="s">
        <v>79</v>
      </c>
      <c r="E92" s="2" t="s">
        <v>81</v>
      </c>
      <c r="F92" s="2" t="s">
        <v>112</v>
      </c>
      <c r="G92" s="17">
        <v>45809</v>
      </c>
      <c r="H92" s="4">
        <v>2025</v>
      </c>
      <c r="I92" s="4">
        <v>1189</v>
      </c>
    </row>
    <row r="93" spans="1:9">
      <c r="A93" s="2" t="s">
        <v>25</v>
      </c>
      <c r="B93" s="2" t="s">
        <v>27</v>
      </c>
      <c r="C93" s="2" t="s">
        <v>119</v>
      </c>
      <c r="D93" s="2" t="s">
        <v>79</v>
      </c>
      <c r="E93" s="2" t="s">
        <v>81</v>
      </c>
      <c r="F93" s="2" t="s">
        <v>112</v>
      </c>
      <c r="G93" s="17">
        <v>45839</v>
      </c>
      <c r="H93" s="4">
        <v>2025</v>
      </c>
      <c r="I93" s="4">
        <v>1197.2</v>
      </c>
    </row>
    <row r="94" spans="1:9">
      <c r="A94" s="2" t="s">
        <v>25</v>
      </c>
      <c r="B94" s="2" t="s">
        <v>27</v>
      </c>
      <c r="C94" s="2" t="s">
        <v>119</v>
      </c>
      <c r="D94" s="2" t="s">
        <v>79</v>
      </c>
      <c r="E94" s="2" t="s">
        <v>81</v>
      </c>
      <c r="F94" s="2" t="s">
        <v>112</v>
      </c>
      <c r="G94" s="17">
        <v>45870</v>
      </c>
      <c r="H94" s="4">
        <v>2025</v>
      </c>
      <c r="I94" s="4">
        <v>1205.4</v>
      </c>
    </row>
    <row r="95" spans="1:9">
      <c r="A95" s="2" t="s">
        <v>25</v>
      </c>
      <c r="B95" s="2" t="s">
        <v>27</v>
      </c>
      <c r="C95" s="2" t="s">
        <v>119</v>
      </c>
      <c r="D95" s="2" t="s">
        <v>79</v>
      </c>
      <c r="E95" s="2" t="s">
        <v>81</v>
      </c>
      <c r="F95" s="2" t="s">
        <v>112</v>
      </c>
      <c r="G95" s="17">
        <v>45901</v>
      </c>
      <c r="H95" s="4">
        <v>2025</v>
      </c>
      <c r="I95" s="4">
        <v>1213.6</v>
      </c>
    </row>
    <row r="96" spans="1:9">
      <c r="A96" s="2" t="s">
        <v>25</v>
      </c>
      <c r="B96" s="2" t="s">
        <v>27</v>
      </c>
      <c r="C96" s="2" t="s">
        <v>119</v>
      </c>
      <c r="D96" s="2" t="s">
        <v>79</v>
      </c>
      <c r="E96" s="2" t="s">
        <v>81</v>
      </c>
      <c r="F96" s="2" t="s">
        <v>112</v>
      </c>
      <c r="G96" s="17">
        <v>45931</v>
      </c>
      <c r="H96" s="4">
        <v>2025</v>
      </c>
      <c r="I96" s="4">
        <v>1221.8</v>
      </c>
    </row>
    <row r="97" spans="1:9">
      <c r="A97" s="2" t="s">
        <v>25</v>
      </c>
      <c r="B97" s="2" t="s">
        <v>27</v>
      </c>
      <c r="C97" s="2" t="s">
        <v>119</v>
      </c>
      <c r="D97" s="2" t="s">
        <v>79</v>
      </c>
      <c r="E97" s="2" t="s">
        <v>81</v>
      </c>
      <c r="F97" s="2" t="s">
        <v>112</v>
      </c>
      <c r="G97" s="17">
        <v>45962</v>
      </c>
      <c r="H97" s="4">
        <v>2025</v>
      </c>
      <c r="I97" s="4">
        <v>1230</v>
      </c>
    </row>
    <row r="98" spans="1:9">
      <c r="A98" s="2" t="s">
        <v>25</v>
      </c>
      <c r="B98" s="2" t="s">
        <v>27</v>
      </c>
      <c r="C98" s="2" t="s">
        <v>119</v>
      </c>
      <c r="D98" s="2" t="s">
        <v>79</v>
      </c>
      <c r="E98" s="2" t="s">
        <v>81</v>
      </c>
      <c r="F98" s="2" t="s">
        <v>112</v>
      </c>
      <c r="G98" s="17">
        <v>45992</v>
      </c>
      <c r="H98" s="4">
        <v>2025</v>
      </c>
      <c r="I98" s="4">
        <v>1238.2</v>
      </c>
    </row>
  </sheetData>
  <autoFilter ref="A2:I98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17.7109375" style="2" customWidth="1"/>
    <col min="2" max="2" width="30.7109375" style="2" customWidth="1"/>
    <col min="3" max="4" width="14.7109375" style="4" customWidth="1"/>
    <col min="5" max="5" width="15.7109375" style="4" customWidth="1"/>
    <col min="6" max="6" width="20.7109375" style="4" customWidth="1"/>
    <col min="7" max="7" width="15.7109375" style="4" customWidth="1"/>
    <col min="8" max="8" width="16.7109375" style="4" customWidth="1"/>
    <col min="9" max="17" width="20.7109375" style="4" customWidth="1"/>
    <col min="18" max="21" width="18.7109375" style="3" customWidth="1"/>
  </cols>
  <sheetData>
    <row r="1" spans="1:21">
      <c r="A1" s="5" t="s">
        <v>140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21">
      <c r="A2" s="6" t="s">
        <v>1</v>
      </c>
      <c r="B2" s="6" t="s">
        <v>127</v>
      </c>
      <c r="C2" s="6" t="s">
        <v>20</v>
      </c>
      <c r="D2" s="6" t="s">
        <v>21</v>
      </c>
      <c r="E2" s="6" t="s">
        <v>22</v>
      </c>
      <c r="F2" s="6" t="s">
        <v>128</v>
      </c>
      <c r="G2" s="6" t="s">
        <v>129</v>
      </c>
      <c r="H2" s="6" t="s">
        <v>130</v>
      </c>
      <c r="I2" s="6" t="s">
        <v>131</v>
      </c>
      <c r="J2" s="6" t="s">
        <v>108</v>
      </c>
      <c r="K2" s="6" t="s">
        <v>109</v>
      </c>
      <c r="L2" s="6" t="s">
        <v>132</v>
      </c>
      <c r="M2" s="6" t="s">
        <v>133</v>
      </c>
      <c r="N2" s="6" t="s">
        <v>134</v>
      </c>
      <c r="O2" s="6" t="s">
        <v>135</v>
      </c>
      <c r="P2" s="6" t="s">
        <v>136</v>
      </c>
      <c r="Q2" s="6" t="s">
        <v>137</v>
      </c>
      <c r="R2" s="6" t="s">
        <v>23</v>
      </c>
      <c r="S2" s="6" t="s">
        <v>24</v>
      </c>
      <c r="T2" s="6" t="s">
        <v>138</v>
      </c>
      <c r="U2" s="6" t="s">
        <v>139</v>
      </c>
    </row>
    <row r="3" spans="1:21">
      <c r="A3" s="2" t="s">
        <v>28</v>
      </c>
      <c r="B3" s="2" t="s">
        <v>35</v>
      </c>
      <c r="C3" s="4">
        <v>2</v>
      </c>
      <c r="D3" s="4">
        <v>2</v>
      </c>
      <c r="E3" s="4">
        <v>2</v>
      </c>
      <c r="F3" s="4">
        <v>2</v>
      </c>
      <c r="G3" s="4">
        <v>29160</v>
      </c>
      <c r="H3" s="4">
        <v>23911.2</v>
      </c>
      <c r="I3" s="4">
        <v>23911.2</v>
      </c>
      <c r="J3" s="4">
        <v>29160</v>
      </c>
      <c r="K3" s="4">
        <v>2</v>
      </c>
      <c r="L3" s="4">
        <v>2</v>
      </c>
      <c r="M3" s="4">
        <v>23911.2</v>
      </c>
      <c r="N3" s="4">
        <v>29160</v>
      </c>
      <c r="O3" s="4">
        <v>23911.2</v>
      </c>
      <c r="P3" s="4">
        <v>23911.2</v>
      </c>
      <c r="Q3" s="4">
        <v>23911.2</v>
      </c>
      <c r="R3" s="3">
        <v>1</v>
      </c>
      <c r="S3" s="3">
        <v>1</v>
      </c>
      <c r="T3" s="3">
        <v>1</v>
      </c>
      <c r="U3" s="3">
        <v>1</v>
      </c>
    </row>
    <row r="4" spans="1:21">
      <c r="A4" s="2" t="s">
        <v>27</v>
      </c>
      <c r="B4" s="2" t="s">
        <v>35</v>
      </c>
      <c r="C4" s="4">
        <v>2</v>
      </c>
      <c r="D4" s="4">
        <v>2</v>
      </c>
      <c r="E4" s="4">
        <v>2</v>
      </c>
      <c r="F4" s="4">
        <v>2</v>
      </c>
      <c r="G4" s="4">
        <v>33960</v>
      </c>
      <c r="H4" s="4">
        <v>27847.2</v>
      </c>
      <c r="I4" s="4">
        <v>27847.2</v>
      </c>
      <c r="J4" s="4">
        <v>33960</v>
      </c>
      <c r="K4" s="4">
        <v>2</v>
      </c>
      <c r="L4" s="4">
        <v>2</v>
      </c>
      <c r="M4" s="4">
        <v>27847.2</v>
      </c>
      <c r="N4" s="4">
        <v>33960</v>
      </c>
      <c r="O4" s="4">
        <v>27847.2</v>
      </c>
      <c r="P4" s="4">
        <v>27847.2</v>
      </c>
      <c r="Q4" s="4">
        <v>27847.2</v>
      </c>
      <c r="R4" s="3">
        <v>1</v>
      </c>
      <c r="S4" s="3">
        <v>1</v>
      </c>
      <c r="T4" s="3">
        <v>1</v>
      </c>
      <c r="U4" s="3">
        <v>1</v>
      </c>
    </row>
  </sheetData>
  <autoFilter ref="A2:U4"/>
  <mergeCells count="1">
    <mergeCell ref="A1: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58"/>
  <sheetViews>
    <sheetView workbookViewId="0"/>
  </sheetViews>
  <sheetFormatPr defaultRowHeight="15"/>
  <cols>
    <col min="1" max="1" width="24.7109375" customWidth="1"/>
    <col min="2" max="52" width="14.7109375" customWidth="1"/>
  </cols>
  <sheetData>
    <row r="1" spans="1:25">
      <c r="A1" s="18" t="s">
        <v>141</v>
      </c>
      <c r="B1" s="18"/>
      <c r="C1" s="18"/>
      <c r="D1" s="18"/>
      <c r="E1" s="18"/>
      <c r="F1" s="18"/>
      <c r="G1" s="18"/>
      <c r="H1" s="18"/>
    </row>
    <row r="3" spans="1:25">
      <c r="A3" s="19" t="s">
        <v>142</v>
      </c>
      <c r="B3" s="14" t="s">
        <v>143</v>
      </c>
    </row>
    <row r="5" spans="1:25">
      <c r="A5" s="19" t="s">
        <v>28</v>
      </c>
    </row>
    <row r="6" spans="1:25">
      <c r="A6" s="19" t="s">
        <v>144</v>
      </c>
    </row>
    <row r="7" spans="1:25">
      <c r="A7" s="8" t="s">
        <v>57</v>
      </c>
      <c r="B7" s="8" t="s">
        <v>145</v>
      </c>
      <c r="C7" s="8" t="s">
        <v>146</v>
      </c>
      <c r="D7" s="8" t="s">
        <v>147</v>
      </c>
      <c r="E7" s="8" t="s">
        <v>148</v>
      </c>
      <c r="F7" s="8" t="s">
        <v>149</v>
      </c>
      <c r="G7" s="8" t="s">
        <v>150</v>
      </c>
      <c r="H7" s="8" t="s">
        <v>151</v>
      </c>
      <c r="I7" s="8" t="s">
        <v>152</v>
      </c>
      <c r="J7" s="8" t="s">
        <v>153</v>
      </c>
      <c r="K7" s="8" t="s">
        <v>154</v>
      </c>
      <c r="L7" s="8" t="s">
        <v>155</v>
      </c>
      <c r="M7" s="8" t="s">
        <v>156</v>
      </c>
      <c r="N7" s="8" t="s">
        <v>157</v>
      </c>
      <c r="O7" s="8" t="s">
        <v>158</v>
      </c>
      <c r="P7" s="8" t="s">
        <v>159</v>
      </c>
      <c r="Q7" s="8" t="s">
        <v>160</v>
      </c>
      <c r="R7" s="8" t="s">
        <v>161</v>
      </c>
      <c r="S7" s="8" t="s">
        <v>162</v>
      </c>
      <c r="T7" s="8" t="s">
        <v>163</v>
      </c>
      <c r="U7" s="8" t="s">
        <v>164</v>
      </c>
      <c r="V7" s="8" t="s">
        <v>165</v>
      </c>
      <c r="W7" s="8" t="s">
        <v>166</v>
      </c>
      <c r="X7" s="8" t="s">
        <v>167</v>
      </c>
      <c r="Y7" s="8" t="s">
        <v>168</v>
      </c>
    </row>
    <row r="8" spans="1:25">
      <c r="A8" s="14" t="s">
        <v>61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</row>
    <row r="9" spans="1:25">
      <c r="A9" s="14" t="s">
        <v>62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</row>
    <row r="10" spans="1:25">
      <c r="A10" s="14" t="s">
        <v>63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</row>
    <row r="11" spans="1:25">
      <c r="A11" s="14" t="s">
        <v>64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</row>
    <row r="12" spans="1:25">
      <c r="A12" s="14" t="s">
        <v>65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</row>
    <row r="13" spans="1:25">
      <c r="A13" s="14" t="s">
        <v>66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</row>
    <row r="14" spans="1:25">
      <c r="A14" s="14" t="s">
        <v>67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</row>
    <row r="15" spans="1:25">
      <c r="A15" s="14" t="s">
        <v>68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</row>
    <row r="16" spans="1:25">
      <c r="A16" s="14" t="s">
        <v>69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</row>
    <row r="17" spans="1:25">
      <c r="A17" s="14" t="s">
        <v>70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</row>
    <row r="18" spans="1:25">
      <c r="A18" s="14" t="s">
        <v>71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</row>
    <row r="19" spans="1:25">
      <c r="A19" s="14" t="s">
        <v>72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</row>
    <row r="20" spans="1:25">
      <c r="A20" s="14" t="s">
        <v>73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</row>
    <row r="21" spans="1:25">
      <c r="A21" s="14" t="s">
        <v>74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</row>
    <row r="22" spans="1:25">
      <c r="A22" s="14" t="s">
        <v>75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</row>
    <row r="23" spans="1:25">
      <c r="A23" s="14" t="s">
        <v>76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</row>
    <row r="24" spans="1:25">
      <c r="A24" s="14" t="s">
        <v>77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</row>
    <row r="25" spans="1:25">
      <c r="A25" s="14" t="s">
        <v>78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</row>
    <row r="26" spans="1:25">
      <c r="A26" s="14" t="s">
        <v>79</v>
      </c>
      <c r="B26" s="12">
        <v>1705.6</v>
      </c>
      <c r="C26" s="12">
        <v>1722</v>
      </c>
      <c r="D26" s="12">
        <v>1738.4</v>
      </c>
      <c r="E26" s="12">
        <v>1754.8</v>
      </c>
      <c r="F26" s="12">
        <v>1771.2</v>
      </c>
      <c r="G26" s="12">
        <v>1787.6</v>
      </c>
      <c r="H26" s="12">
        <v>1804</v>
      </c>
      <c r="I26" s="12">
        <v>1820.4</v>
      </c>
      <c r="J26" s="12">
        <v>1836.8</v>
      </c>
      <c r="K26" s="12">
        <v>1853.2</v>
      </c>
      <c r="L26" s="12">
        <v>1869.6</v>
      </c>
      <c r="M26" s="12">
        <v>1886</v>
      </c>
      <c r="N26" s="12">
        <v>1902.4</v>
      </c>
      <c r="O26" s="12">
        <v>1918.8</v>
      </c>
      <c r="P26" s="12">
        <v>1935.2</v>
      </c>
      <c r="Q26" s="12">
        <v>1951.6</v>
      </c>
      <c r="R26" s="12">
        <v>1968</v>
      </c>
      <c r="S26" s="12">
        <v>1984.4</v>
      </c>
      <c r="T26" s="12">
        <v>2000.8</v>
      </c>
      <c r="U26" s="12">
        <v>2017.2</v>
      </c>
      <c r="V26" s="12">
        <v>2033.6</v>
      </c>
      <c r="W26" s="12">
        <v>2050</v>
      </c>
      <c r="X26" s="12">
        <v>2066.4</v>
      </c>
      <c r="Y26" s="12">
        <v>2082.8</v>
      </c>
    </row>
    <row r="27" spans="1:25">
      <c r="A27" s="14" t="s">
        <v>80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</row>
    <row r="32" spans="1:25">
      <c r="A32" s="19" t="s">
        <v>169</v>
      </c>
    </row>
    <row r="33" spans="1:25">
      <c r="A33" s="8" t="s">
        <v>57</v>
      </c>
      <c r="B33" s="8" t="s">
        <v>145</v>
      </c>
      <c r="C33" s="8" t="s">
        <v>146</v>
      </c>
      <c r="D33" s="8" t="s">
        <v>147</v>
      </c>
      <c r="E33" s="8" t="s">
        <v>148</v>
      </c>
      <c r="F33" s="8" t="s">
        <v>149</v>
      </c>
      <c r="G33" s="8" t="s">
        <v>150</v>
      </c>
      <c r="H33" s="8" t="s">
        <v>151</v>
      </c>
      <c r="I33" s="8" t="s">
        <v>152</v>
      </c>
      <c r="J33" s="8" t="s">
        <v>153</v>
      </c>
      <c r="K33" s="8" t="s">
        <v>154</v>
      </c>
      <c r="L33" s="8" t="s">
        <v>155</v>
      </c>
      <c r="M33" s="8" t="s">
        <v>156</v>
      </c>
      <c r="N33" s="8" t="s">
        <v>157</v>
      </c>
      <c r="O33" s="8" t="s">
        <v>158</v>
      </c>
      <c r="P33" s="8" t="s">
        <v>159</v>
      </c>
      <c r="Q33" s="8" t="s">
        <v>160</v>
      </c>
      <c r="R33" s="8" t="s">
        <v>161</v>
      </c>
      <c r="S33" s="8" t="s">
        <v>162</v>
      </c>
      <c r="T33" s="8" t="s">
        <v>163</v>
      </c>
      <c r="U33" s="8" t="s">
        <v>164</v>
      </c>
      <c r="V33" s="8" t="s">
        <v>165</v>
      </c>
      <c r="W33" s="8" t="s">
        <v>166</v>
      </c>
      <c r="X33" s="8" t="s">
        <v>167</v>
      </c>
      <c r="Y33" s="8" t="s">
        <v>168</v>
      </c>
    </row>
    <row r="34" spans="1:25">
      <c r="A34" s="14" t="s">
        <v>61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14" t="s">
        <v>62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14" t="s">
        <v>63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14" t="s">
        <v>64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14" t="s">
        <v>65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14" t="s">
        <v>66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14" t="s">
        <v>67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14" t="s">
        <v>68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14" t="s">
        <v>69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14" t="s">
        <v>70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14" t="s">
        <v>71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14" t="s">
        <v>72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14" t="s">
        <v>73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14" t="s">
        <v>74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14" t="s">
        <v>75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14" t="s">
        <v>76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14" t="s">
        <v>77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14" t="s">
        <v>78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14" t="s">
        <v>79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14" t="s">
        <v>80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7" spans="1:25">
      <c r="A57" s="19" t="s">
        <v>170</v>
      </c>
    </row>
    <row r="58" spans="1:25">
      <c r="A58" s="8" t="s">
        <v>57</v>
      </c>
      <c r="B58" s="8" t="s">
        <v>145</v>
      </c>
      <c r="C58" s="8" t="s">
        <v>146</v>
      </c>
      <c r="D58" s="8" t="s">
        <v>147</v>
      </c>
      <c r="E58" s="8" t="s">
        <v>148</v>
      </c>
      <c r="F58" s="8" t="s">
        <v>149</v>
      </c>
      <c r="G58" s="8" t="s">
        <v>150</v>
      </c>
      <c r="H58" s="8" t="s">
        <v>151</v>
      </c>
      <c r="I58" s="8" t="s">
        <v>152</v>
      </c>
      <c r="J58" s="8" t="s">
        <v>153</v>
      </c>
      <c r="K58" s="8" t="s">
        <v>154</v>
      </c>
      <c r="L58" s="8" t="s">
        <v>155</v>
      </c>
      <c r="M58" s="8" t="s">
        <v>156</v>
      </c>
      <c r="N58" s="8" t="s">
        <v>157</v>
      </c>
      <c r="O58" s="8" t="s">
        <v>158</v>
      </c>
      <c r="P58" s="8" t="s">
        <v>159</v>
      </c>
      <c r="Q58" s="8" t="s">
        <v>160</v>
      </c>
      <c r="R58" s="8" t="s">
        <v>161</v>
      </c>
      <c r="S58" s="8" t="s">
        <v>162</v>
      </c>
      <c r="T58" s="8" t="s">
        <v>163</v>
      </c>
      <c r="U58" s="8" t="s">
        <v>164</v>
      </c>
      <c r="V58" s="8" t="s">
        <v>165</v>
      </c>
      <c r="W58" s="8" t="s">
        <v>166</v>
      </c>
      <c r="X58" s="8" t="s">
        <v>167</v>
      </c>
      <c r="Y58" s="8" t="s">
        <v>168</v>
      </c>
    </row>
    <row r="59" spans="1:25">
      <c r="A59" s="14" t="s">
        <v>61</v>
      </c>
      <c r="B59" s="11">
        <f>IF(B34=B8,"OK","NOK")</f>
        <v>0</v>
      </c>
      <c r="C59" s="11">
        <f>IF(C34=C8,"OK","NOK")</f>
        <v>0</v>
      </c>
      <c r="D59" s="11">
        <f>IF(D34=D8,"OK","NOK")</f>
        <v>0</v>
      </c>
      <c r="E59" s="11">
        <f>IF(E34=E8,"OK","NOK")</f>
        <v>0</v>
      </c>
      <c r="F59" s="11">
        <f>IF(F34=F8,"OK","NOK")</f>
        <v>0</v>
      </c>
      <c r="G59" s="11">
        <f>IF(G34=G8,"OK","NOK")</f>
        <v>0</v>
      </c>
      <c r="H59" s="11">
        <f>IF(H34=H8,"OK","NOK")</f>
        <v>0</v>
      </c>
      <c r="I59" s="11">
        <f>IF(I34=I8,"OK","NOK")</f>
        <v>0</v>
      </c>
      <c r="J59" s="11">
        <f>IF(J34=J8,"OK","NOK")</f>
        <v>0</v>
      </c>
      <c r="K59" s="11">
        <f>IF(K34=K8,"OK","NOK")</f>
        <v>0</v>
      </c>
      <c r="L59" s="11">
        <f>IF(L34=L8,"OK","NOK")</f>
        <v>0</v>
      </c>
      <c r="M59" s="11">
        <f>IF(M34=M8,"OK","NOK")</f>
        <v>0</v>
      </c>
      <c r="N59" s="11">
        <f>IF(N34=N8,"OK","NOK")</f>
        <v>0</v>
      </c>
      <c r="O59" s="11">
        <f>IF(O34=O8,"OK","NOK")</f>
        <v>0</v>
      </c>
      <c r="P59" s="11">
        <f>IF(P34=P8,"OK","NOK")</f>
        <v>0</v>
      </c>
      <c r="Q59" s="11">
        <f>IF(Q34=Q8,"OK","NOK")</f>
        <v>0</v>
      </c>
      <c r="R59" s="11">
        <f>IF(R34=R8,"OK","NOK")</f>
        <v>0</v>
      </c>
      <c r="S59" s="11">
        <f>IF(S34=S8,"OK","NOK")</f>
        <v>0</v>
      </c>
      <c r="T59" s="11">
        <f>IF(T34=T8,"OK","NOK")</f>
        <v>0</v>
      </c>
      <c r="U59" s="11">
        <f>IF(U34=U8,"OK","NOK")</f>
        <v>0</v>
      </c>
      <c r="V59" s="11">
        <f>IF(V34=V8,"OK","NOK")</f>
        <v>0</v>
      </c>
      <c r="W59" s="11">
        <f>IF(W34=W8,"OK","NOK")</f>
        <v>0</v>
      </c>
      <c r="X59" s="11">
        <f>IF(X34=X8,"OK","NOK")</f>
        <v>0</v>
      </c>
      <c r="Y59" s="11">
        <f>IF(Y34=Y8,"OK","NOK")</f>
        <v>0</v>
      </c>
    </row>
    <row r="60" spans="1:25">
      <c r="A60" s="14" t="s">
        <v>62</v>
      </c>
      <c r="B60" s="11">
        <f>IF(B35=B9,"OK","NOK")</f>
        <v>0</v>
      </c>
      <c r="C60" s="11">
        <f>IF(C35=C9,"OK","NOK")</f>
        <v>0</v>
      </c>
      <c r="D60" s="11">
        <f>IF(D35=D9,"OK","NOK")</f>
        <v>0</v>
      </c>
      <c r="E60" s="11">
        <f>IF(E35=E9,"OK","NOK")</f>
        <v>0</v>
      </c>
      <c r="F60" s="11">
        <f>IF(F35=F9,"OK","NOK")</f>
        <v>0</v>
      </c>
      <c r="G60" s="11">
        <f>IF(G35=G9,"OK","NOK")</f>
        <v>0</v>
      </c>
      <c r="H60" s="11">
        <f>IF(H35=H9,"OK","NOK")</f>
        <v>0</v>
      </c>
      <c r="I60" s="11">
        <f>IF(I35=I9,"OK","NOK")</f>
        <v>0</v>
      </c>
      <c r="J60" s="11">
        <f>IF(J35=J9,"OK","NOK")</f>
        <v>0</v>
      </c>
      <c r="K60" s="11">
        <f>IF(K35=K9,"OK","NOK")</f>
        <v>0</v>
      </c>
      <c r="L60" s="11">
        <f>IF(L35=L9,"OK","NOK")</f>
        <v>0</v>
      </c>
      <c r="M60" s="11">
        <f>IF(M35=M9,"OK","NOK")</f>
        <v>0</v>
      </c>
      <c r="N60" s="11">
        <f>IF(N35=N9,"OK","NOK")</f>
        <v>0</v>
      </c>
      <c r="O60" s="11">
        <f>IF(O35=O9,"OK","NOK")</f>
        <v>0</v>
      </c>
      <c r="P60" s="11">
        <f>IF(P35=P9,"OK","NOK")</f>
        <v>0</v>
      </c>
      <c r="Q60" s="11">
        <f>IF(Q35=Q9,"OK","NOK")</f>
        <v>0</v>
      </c>
      <c r="R60" s="11">
        <f>IF(R35=R9,"OK","NOK")</f>
        <v>0</v>
      </c>
      <c r="S60" s="11">
        <f>IF(S35=S9,"OK","NOK")</f>
        <v>0</v>
      </c>
      <c r="T60" s="11">
        <f>IF(T35=T9,"OK","NOK")</f>
        <v>0</v>
      </c>
      <c r="U60" s="11">
        <f>IF(U35=U9,"OK","NOK")</f>
        <v>0</v>
      </c>
      <c r="V60" s="11">
        <f>IF(V35=V9,"OK","NOK")</f>
        <v>0</v>
      </c>
      <c r="W60" s="11">
        <f>IF(W35=W9,"OK","NOK")</f>
        <v>0</v>
      </c>
      <c r="X60" s="11">
        <f>IF(X35=X9,"OK","NOK")</f>
        <v>0</v>
      </c>
      <c r="Y60" s="11">
        <f>IF(Y35=Y9,"OK","NOK")</f>
        <v>0</v>
      </c>
    </row>
    <row r="61" spans="1:25">
      <c r="A61" s="14" t="s">
        <v>63</v>
      </c>
      <c r="B61" s="11">
        <f>IF(B36=B10,"OK","NOK")</f>
        <v>0</v>
      </c>
      <c r="C61" s="11">
        <f>IF(C36=C10,"OK","NOK")</f>
        <v>0</v>
      </c>
      <c r="D61" s="11">
        <f>IF(D36=D10,"OK","NOK")</f>
        <v>0</v>
      </c>
      <c r="E61" s="11">
        <f>IF(E36=E10,"OK","NOK")</f>
        <v>0</v>
      </c>
      <c r="F61" s="11">
        <f>IF(F36=F10,"OK","NOK")</f>
        <v>0</v>
      </c>
      <c r="G61" s="11">
        <f>IF(G36=G10,"OK","NOK")</f>
        <v>0</v>
      </c>
      <c r="H61" s="11">
        <f>IF(H36=H10,"OK","NOK")</f>
        <v>0</v>
      </c>
      <c r="I61" s="11">
        <f>IF(I36=I10,"OK","NOK")</f>
        <v>0</v>
      </c>
      <c r="J61" s="11">
        <f>IF(J36=J10,"OK","NOK")</f>
        <v>0</v>
      </c>
      <c r="K61" s="11">
        <f>IF(K36=K10,"OK","NOK")</f>
        <v>0</v>
      </c>
      <c r="L61" s="11">
        <f>IF(L36=L10,"OK","NOK")</f>
        <v>0</v>
      </c>
      <c r="M61" s="11">
        <f>IF(M36=M10,"OK","NOK")</f>
        <v>0</v>
      </c>
      <c r="N61" s="11">
        <f>IF(N36=N10,"OK","NOK")</f>
        <v>0</v>
      </c>
      <c r="O61" s="11">
        <f>IF(O36=O10,"OK","NOK")</f>
        <v>0</v>
      </c>
      <c r="P61" s="11">
        <f>IF(P36=P10,"OK","NOK")</f>
        <v>0</v>
      </c>
      <c r="Q61" s="11">
        <f>IF(Q36=Q10,"OK","NOK")</f>
        <v>0</v>
      </c>
      <c r="R61" s="11">
        <f>IF(R36=R10,"OK","NOK")</f>
        <v>0</v>
      </c>
      <c r="S61" s="11">
        <f>IF(S36=S10,"OK","NOK")</f>
        <v>0</v>
      </c>
      <c r="T61" s="11">
        <f>IF(T36=T10,"OK","NOK")</f>
        <v>0</v>
      </c>
      <c r="U61" s="11">
        <f>IF(U36=U10,"OK","NOK")</f>
        <v>0</v>
      </c>
      <c r="V61" s="11">
        <f>IF(V36=V10,"OK","NOK")</f>
        <v>0</v>
      </c>
      <c r="W61" s="11">
        <f>IF(W36=W10,"OK","NOK")</f>
        <v>0</v>
      </c>
      <c r="X61" s="11">
        <f>IF(X36=X10,"OK","NOK")</f>
        <v>0</v>
      </c>
      <c r="Y61" s="11">
        <f>IF(Y36=Y10,"OK","NOK")</f>
        <v>0</v>
      </c>
    </row>
    <row r="62" spans="1:25">
      <c r="A62" s="14" t="s">
        <v>64</v>
      </c>
      <c r="B62" s="11">
        <f>IF(B37=B11,"OK","NOK")</f>
        <v>0</v>
      </c>
      <c r="C62" s="11">
        <f>IF(C37=C11,"OK","NOK")</f>
        <v>0</v>
      </c>
      <c r="D62" s="11">
        <f>IF(D37=D11,"OK","NOK")</f>
        <v>0</v>
      </c>
      <c r="E62" s="11">
        <f>IF(E37=E11,"OK","NOK")</f>
        <v>0</v>
      </c>
      <c r="F62" s="11">
        <f>IF(F37=F11,"OK","NOK")</f>
        <v>0</v>
      </c>
      <c r="G62" s="11">
        <f>IF(G37=G11,"OK","NOK")</f>
        <v>0</v>
      </c>
      <c r="H62" s="11">
        <f>IF(H37=H11,"OK","NOK")</f>
        <v>0</v>
      </c>
      <c r="I62" s="11">
        <f>IF(I37=I11,"OK","NOK")</f>
        <v>0</v>
      </c>
      <c r="J62" s="11">
        <f>IF(J37=J11,"OK","NOK")</f>
        <v>0</v>
      </c>
      <c r="K62" s="11">
        <f>IF(K37=K11,"OK","NOK")</f>
        <v>0</v>
      </c>
      <c r="L62" s="11">
        <f>IF(L37=L11,"OK","NOK")</f>
        <v>0</v>
      </c>
      <c r="M62" s="11">
        <f>IF(M37=M11,"OK","NOK")</f>
        <v>0</v>
      </c>
      <c r="N62" s="11">
        <f>IF(N37=N11,"OK","NOK")</f>
        <v>0</v>
      </c>
      <c r="O62" s="11">
        <f>IF(O37=O11,"OK","NOK")</f>
        <v>0</v>
      </c>
      <c r="P62" s="11">
        <f>IF(P37=P11,"OK","NOK")</f>
        <v>0</v>
      </c>
      <c r="Q62" s="11">
        <f>IF(Q37=Q11,"OK","NOK")</f>
        <v>0</v>
      </c>
      <c r="R62" s="11">
        <f>IF(R37=R11,"OK","NOK")</f>
        <v>0</v>
      </c>
      <c r="S62" s="11">
        <f>IF(S37=S11,"OK","NOK")</f>
        <v>0</v>
      </c>
      <c r="T62" s="11">
        <f>IF(T37=T11,"OK","NOK")</f>
        <v>0</v>
      </c>
      <c r="U62" s="11">
        <f>IF(U37=U11,"OK","NOK")</f>
        <v>0</v>
      </c>
      <c r="V62" s="11">
        <f>IF(V37=V11,"OK","NOK")</f>
        <v>0</v>
      </c>
      <c r="W62" s="11">
        <f>IF(W37=W11,"OK","NOK")</f>
        <v>0</v>
      </c>
      <c r="X62" s="11">
        <f>IF(X37=X11,"OK","NOK")</f>
        <v>0</v>
      </c>
      <c r="Y62" s="11">
        <f>IF(Y37=Y11,"OK","NOK")</f>
        <v>0</v>
      </c>
    </row>
    <row r="63" spans="1:25">
      <c r="A63" s="14" t="s">
        <v>65</v>
      </c>
      <c r="B63" s="11">
        <f>IF(B38=B12,"OK","NOK")</f>
        <v>0</v>
      </c>
      <c r="C63" s="11">
        <f>IF(C38=C12,"OK","NOK")</f>
        <v>0</v>
      </c>
      <c r="D63" s="11">
        <f>IF(D38=D12,"OK","NOK")</f>
        <v>0</v>
      </c>
      <c r="E63" s="11">
        <f>IF(E38=E12,"OK","NOK")</f>
        <v>0</v>
      </c>
      <c r="F63" s="11">
        <f>IF(F38=F12,"OK","NOK")</f>
        <v>0</v>
      </c>
      <c r="G63" s="11">
        <f>IF(G38=G12,"OK","NOK")</f>
        <v>0</v>
      </c>
      <c r="H63" s="11">
        <f>IF(H38=H12,"OK","NOK")</f>
        <v>0</v>
      </c>
      <c r="I63" s="11">
        <f>IF(I38=I12,"OK","NOK")</f>
        <v>0</v>
      </c>
      <c r="J63" s="11">
        <f>IF(J38=J12,"OK","NOK")</f>
        <v>0</v>
      </c>
      <c r="K63" s="11">
        <f>IF(K38=K12,"OK","NOK")</f>
        <v>0</v>
      </c>
      <c r="L63" s="11">
        <f>IF(L38=L12,"OK","NOK")</f>
        <v>0</v>
      </c>
      <c r="M63" s="11">
        <f>IF(M38=M12,"OK","NOK")</f>
        <v>0</v>
      </c>
      <c r="N63" s="11">
        <f>IF(N38=N12,"OK","NOK")</f>
        <v>0</v>
      </c>
      <c r="O63" s="11">
        <f>IF(O38=O12,"OK","NOK")</f>
        <v>0</v>
      </c>
      <c r="P63" s="11">
        <f>IF(P38=P12,"OK","NOK")</f>
        <v>0</v>
      </c>
      <c r="Q63" s="11">
        <f>IF(Q38=Q12,"OK","NOK")</f>
        <v>0</v>
      </c>
      <c r="R63" s="11">
        <f>IF(R38=R12,"OK","NOK")</f>
        <v>0</v>
      </c>
      <c r="S63" s="11">
        <f>IF(S38=S12,"OK","NOK")</f>
        <v>0</v>
      </c>
      <c r="T63" s="11">
        <f>IF(T38=T12,"OK","NOK")</f>
        <v>0</v>
      </c>
      <c r="U63" s="11">
        <f>IF(U38=U12,"OK","NOK")</f>
        <v>0</v>
      </c>
      <c r="V63" s="11">
        <f>IF(V38=V12,"OK","NOK")</f>
        <v>0</v>
      </c>
      <c r="W63" s="11">
        <f>IF(W38=W12,"OK","NOK")</f>
        <v>0</v>
      </c>
      <c r="X63" s="11">
        <f>IF(X38=X12,"OK","NOK")</f>
        <v>0</v>
      </c>
      <c r="Y63" s="11">
        <f>IF(Y38=Y12,"OK","NOK")</f>
        <v>0</v>
      </c>
    </row>
    <row r="64" spans="1:25">
      <c r="A64" s="14" t="s">
        <v>66</v>
      </c>
      <c r="B64" s="11">
        <f>IF(B39=B13,"OK","NOK")</f>
        <v>0</v>
      </c>
      <c r="C64" s="11">
        <f>IF(C39=C13,"OK","NOK")</f>
        <v>0</v>
      </c>
      <c r="D64" s="11">
        <f>IF(D39=D13,"OK","NOK")</f>
        <v>0</v>
      </c>
      <c r="E64" s="11">
        <f>IF(E39=E13,"OK","NOK")</f>
        <v>0</v>
      </c>
      <c r="F64" s="11">
        <f>IF(F39=F13,"OK","NOK")</f>
        <v>0</v>
      </c>
      <c r="G64" s="11">
        <f>IF(G39=G13,"OK","NOK")</f>
        <v>0</v>
      </c>
      <c r="H64" s="11">
        <f>IF(H39=H13,"OK","NOK")</f>
        <v>0</v>
      </c>
      <c r="I64" s="11">
        <f>IF(I39=I13,"OK","NOK")</f>
        <v>0</v>
      </c>
      <c r="J64" s="11">
        <f>IF(J39=J13,"OK","NOK")</f>
        <v>0</v>
      </c>
      <c r="K64" s="11">
        <f>IF(K39=K13,"OK","NOK")</f>
        <v>0</v>
      </c>
      <c r="L64" s="11">
        <f>IF(L39=L13,"OK","NOK")</f>
        <v>0</v>
      </c>
      <c r="M64" s="11">
        <f>IF(M39=M13,"OK","NOK")</f>
        <v>0</v>
      </c>
      <c r="N64" s="11">
        <f>IF(N39=N13,"OK","NOK")</f>
        <v>0</v>
      </c>
      <c r="O64" s="11">
        <f>IF(O39=O13,"OK","NOK")</f>
        <v>0</v>
      </c>
      <c r="P64" s="11">
        <f>IF(P39=P13,"OK","NOK")</f>
        <v>0</v>
      </c>
      <c r="Q64" s="11">
        <f>IF(Q39=Q13,"OK","NOK")</f>
        <v>0</v>
      </c>
      <c r="R64" s="11">
        <f>IF(R39=R13,"OK","NOK")</f>
        <v>0</v>
      </c>
      <c r="S64" s="11">
        <f>IF(S39=S13,"OK","NOK")</f>
        <v>0</v>
      </c>
      <c r="T64" s="11">
        <f>IF(T39=T13,"OK","NOK")</f>
        <v>0</v>
      </c>
      <c r="U64" s="11">
        <f>IF(U39=U13,"OK","NOK")</f>
        <v>0</v>
      </c>
      <c r="V64" s="11">
        <f>IF(V39=V13,"OK","NOK")</f>
        <v>0</v>
      </c>
      <c r="W64" s="11">
        <f>IF(W39=W13,"OK","NOK")</f>
        <v>0</v>
      </c>
      <c r="X64" s="11">
        <f>IF(X39=X13,"OK","NOK")</f>
        <v>0</v>
      </c>
      <c r="Y64" s="11">
        <f>IF(Y39=Y13,"OK","NOK")</f>
        <v>0</v>
      </c>
    </row>
    <row r="65" spans="1:25">
      <c r="A65" s="14" t="s">
        <v>67</v>
      </c>
      <c r="B65" s="11">
        <f>IF(B40=B14,"OK","NOK")</f>
        <v>0</v>
      </c>
      <c r="C65" s="11">
        <f>IF(C40=C14,"OK","NOK")</f>
        <v>0</v>
      </c>
      <c r="D65" s="11">
        <f>IF(D40=D14,"OK","NOK")</f>
        <v>0</v>
      </c>
      <c r="E65" s="11">
        <f>IF(E40=E14,"OK","NOK")</f>
        <v>0</v>
      </c>
      <c r="F65" s="11">
        <f>IF(F40=F14,"OK","NOK")</f>
        <v>0</v>
      </c>
      <c r="G65" s="11">
        <f>IF(G40=G14,"OK","NOK")</f>
        <v>0</v>
      </c>
      <c r="H65" s="11">
        <f>IF(H40=H14,"OK","NOK")</f>
        <v>0</v>
      </c>
      <c r="I65" s="11">
        <f>IF(I40=I14,"OK","NOK")</f>
        <v>0</v>
      </c>
      <c r="J65" s="11">
        <f>IF(J40=J14,"OK","NOK")</f>
        <v>0</v>
      </c>
      <c r="K65" s="11">
        <f>IF(K40=K14,"OK","NOK")</f>
        <v>0</v>
      </c>
      <c r="L65" s="11">
        <f>IF(L40=L14,"OK","NOK")</f>
        <v>0</v>
      </c>
      <c r="M65" s="11">
        <f>IF(M40=M14,"OK","NOK")</f>
        <v>0</v>
      </c>
      <c r="N65" s="11">
        <f>IF(N40=N14,"OK","NOK")</f>
        <v>0</v>
      </c>
      <c r="O65" s="11">
        <f>IF(O40=O14,"OK","NOK")</f>
        <v>0</v>
      </c>
      <c r="P65" s="11">
        <f>IF(P40=P14,"OK","NOK")</f>
        <v>0</v>
      </c>
      <c r="Q65" s="11">
        <f>IF(Q40=Q14,"OK","NOK")</f>
        <v>0</v>
      </c>
      <c r="R65" s="11">
        <f>IF(R40=R14,"OK","NOK")</f>
        <v>0</v>
      </c>
      <c r="S65" s="11">
        <f>IF(S40=S14,"OK","NOK")</f>
        <v>0</v>
      </c>
      <c r="T65" s="11">
        <f>IF(T40=T14,"OK","NOK")</f>
        <v>0</v>
      </c>
      <c r="U65" s="11">
        <f>IF(U40=U14,"OK","NOK")</f>
        <v>0</v>
      </c>
      <c r="V65" s="11">
        <f>IF(V40=V14,"OK","NOK")</f>
        <v>0</v>
      </c>
      <c r="W65" s="11">
        <f>IF(W40=W14,"OK","NOK")</f>
        <v>0</v>
      </c>
      <c r="X65" s="11">
        <f>IF(X40=X14,"OK","NOK")</f>
        <v>0</v>
      </c>
      <c r="Y65" s="11">
        <f>IF(Y40=Y14,"OK","NOK")</f>
        <v>0</v>
      </c>
    </row>
    <row r="66" spans="1:25">
      <c r="A66" s="14" t="s">
        <v>68</v>
      </c>
      <c r="B66" s="11">
        <f>IF(B41=B15,"OK","NOK")</f>
        <v>0</v>
      </c>
      <c r="C66" s="11">
        <f>IF(C41=C15,"OK","NOK")</f>
        <v>0</v>
      </c>
      <c r="D66" s="11">
        <f>IF(D41=D15,"OK","NOK")</f>
        <v>0</v>
      </c>
      <c r="E66" s="11">
        <f>IF(E41=E15,"OK","NOK")</f>
        <v>0</v>
      </c>
      <c r="F66" s="11">
        <f>IF(F41=F15,"OK","NOK")</f>
        <v>0</v>
      </c>
      <c r="G66" s="11">
        <f>IF(G41=G15,"OK","NOK")</f>
        <v>0</v>
      </c>
      <c r="H66" s="11">
        <f>IF(H41=H15,"OK","NOK")</f>
        <v>0</v>
      </c>
      <c r="I66" s="11">
        <f>IF(I41=I15,"OK","NOK")</f>
        <v>0</v>
      </c>
      <c r="J66" s="11">
        <f>IF(J41=J15,"OK","NOK")</f>
        <v>0</v>
      </c>
      <c r="K66" s="11">
        <f>IF(K41=K15,"OK","NOK")</f>
        <v>0</v>
      </c>
      <c r="L66" s="11">
        <f>IF(L41=L15,"OK","NOK")</f>
        <v>0</v>
      </c>
      <c r="M66" s="11">
        <f>IF(M41=M15,"OK","NOK")</f>
        <v>0</v>
      </c>
      <c r="N66" s="11">
        <f>IF(N41=N15,"OK","NOK")</f>
        <v>0</v>
      </c>
      <c r="O66" s="11">
        <f>IF(O41=O15,"OK","NOK")</f>
        <v>0</v>
      </c>
      <c r="P66" s="11">
        <f>IF(P41=P15,"OK","NOK")</f>
        <v>0</v>
      </c>
      <c r="Q66" s="11">
        <f>IF(Q41=Q15,"OK","NOK")</f>
        <v>0</v>
      </c>
      <c r="R66" s="11">
        <f>IF(R41=R15,"OK","NOK")</f>
        <v>0</v>
      </c>
      <c r="S66" s="11">
        <f>IF(S41=S15,"OK","NOK")</f>
        <v>0</v>
      </c>
      <c r="T66" s="11">
        <f>IF(T41=T15,"OK","NOK")</f>
        <v>0</v>
      </c>
      <c r="U66" s="11">
        <f>IF(U41=U15,"OK","NOK")</f>
        <v>0</v>
      </c>
      <c r="V66" s="11">
        <f>IF(V41=V15,"OK","NOK")</f>
        <v>0</v>
      </c>
      <c r="W66" s="11">
        <f>IF(W41=W15,"OK","NOK")</f>
        <v>0</v>
      </c>
      <c r="X66" s="11">
        <f>IF(X41=X15,"OK","NOK")</f>
        <v>0</v>
      </c>
      <c r="Y66" s="11">
        <f>IF(Y41=Y15,"OK","NOK")</f>
        <v>0</v>
      </c>
    </row>
    <row r="67" spans="1:25">
      <c r="A67" s="14" t="s">
        <v>69</v>
      </c>
      <c r="B67" s="11">
        <f>IF(B42=B16,"OK","NOK")</f>
        <v>0</v>
      </c>
      <c r="C67" s="11">
        <f>IF(C42=C16,"OK","NOK")</f>
        <v>0</v>
      </c>
      <c r="D67" s="11">
        <f>IF(D42=D16,"OK","NOK")</f>
        <v>0</v>
      </c>
      <c r="E67" s="11">
        <f>IF(E42=E16,"OK","NOK")</f>
        <v>0</v>
      </c>
      <c r="F67" s="11">
        <f>IF(F42=F16,"OK","NOK")</f>
        <v>0</v>
      </c>
      <c r="G67" s="11">
        <f>IF(G42=G16,"OK","NOK")</f>
        <v>0</v>
      </c>
      <c r="H67" s="11">
        <f>IF(H42=H16,"OK","NOK")</f>
        <v>0</v>
      </c>
      <c r="I67" s="11">
        <f>IF(I42=I16,"OK","NOK")</f>
        <v>0</v>
      </c>
      <c r="J67" s="11">
        <f>IF(J42=J16,"OK","NOK")</f>
        <v>0</v>
      </c>
      <c r="K67" s="11">
        <f>IF(K42=K16,"OK","NOK")</f>
        <v>0</v>
      </c>
      <c r="L67" s="11">
        <f>IF(L42=L16,"OK","NOK")</f>
        <v>0</v>
      </c>
      <c r="M67" s="11">
        <f>IF(M42=M16,"OK","NOK")</f>
        <v>0</v>
      </c>
      <c r="N67" s="11">
        <f>IF(N42=N16,"OK","NOK")</f>
        <v>0</v>
      </c>
      <c r="O67" s="11">
        <f>IF(O42=O16,"OK","NOK")</f>
        <v>0</v>
      </c>
      <c r="P67" s="11">
        <f>IF(P42=P16,"OK","NOK")</f>
        <v>0</v>
      </c>
      <c r="Q67" s="11">
        <f>IF(Q42=Q16,"OK","NOK")</f>
        <v>0</v>
      </c>
      <c r="R67" s="11">
        <f>IF(R42=R16,"OK","NOK")</f>
        <v>0</v>
      </c>
      <c r="S67" s="11">
        <f>IF(S42=S16,"OK","NOK")</f>
        <v>0</v>
      </c>
      <c r="T67" s="11">
        <f>IF(T42=T16,"OK","NOK")</f>
        <v>0</v>
      </c>
      <c r="U67" s="11">
        <f>IF(U42=U16,"OK","NOK")</f>
        <v>0</v>
      </c>
      <c r="V67" s="11">
        <f>IF(V42=V16,"OK","NOK")</f>
        <v>0</v>
      </c>
      <c r="W67" s="11">
        <f>IF(W42=W16,"OK","NOK")</f>
        <v>0</v>
      </c>
      <c r="X67" s="11">
        <f>IF(X42=X16,"OK","NOK")</f>
        <v>0</v>
      </c>
      <c r="Y67" s="11">
        <f>IF(Y42=Y16,"OK","NOK")</f>
        <v>0</v>
      </c>
    </row>
    <row r="68" spans="1:25">
      <c r="A68" s="14" t="s">
        <v>70</v>
      </c>
      <c r="B68" s="11">
        <f>IF(B43=B17,"OK","NOK")</f>
        <v>0</v>
      </c>
      <c r="C68" s="11">
        <f>IF(C43=C17,"OK","NOK")</f>
        <v>0</v>
      </c>
      <c r="D68" s="11">
        <f>IF(D43=D17,"OK","NOK")</f>
        <v>0</v>
      </c>
      <c r="E68" s="11">
        <f>IF(E43=E17,"OK","NOK")</f>
        <v>0</v>
      </c>
      <c r="F68" s="11">
        <f>IF(F43=F17,"OK","NOK")</f>
        <v>0</v>
      </c>
      <c r="G68" s="11">
        <f>IF(G43=G17,"OK","NOK")</f>
        <v>0</v>
      </c>
      <c r="H68" s="11">
        <f>IF(H43=H17,"OK","NOK")</f>
        <v>0</v>
      </c>
      <c r="I68" s="11">
        <f>IF(I43=I17,"OK","NOK")</f>
        <v>0</v>
      </c>
      <c r="J68" s="11">
        <f>IF(J43=J17,"OK","NOK")</f>
        <v>0</v>
      </c>
      <c r="K68" s="11">
        <f>IF(K43=K17,"OK","NOK")</f>
        <v>0</v>
      </c>
      <c r="L68" s="11">
        <f>IF(L43=L17,"OK","NOK")</f>
        <v>0</v>
      </c>
      <c r="M68" s="11">
        <f>IF(M43=M17,"OK","NOK")</f>
        <v>0</v>
      </c>
      <c r="N68" s="11">
        <f>IF(N43=N17,"OK","NOK")</f>
        <v>0</v>
      </c>
      <c r="O68" s="11">
        <f>IF(O43=O17,"OK","NOK")</f>
        <v>0</v>
      </c>
      <c r="P68" s="11">
        <f>IF(P43=P17,"OK","NOK")</f>
        <v>0</v>
      </c>
      <c r="Q68" s="11">
        <f>IF(Q43=Q17,"OK","NOK")</f>
        <v>0</v>
      </c>
      <c r="R68" s="11">
        <f>IF(R43=R17,"OK","NOK")</f>
        <v>0</v>
      </c>
      <c r="S68" s="11">
        <f>IF(S43=S17,"OK","NOK")</f>
        <v>0</v>
      </c>
      <c r="T68" s="11">
        <f>IF(T43=T17,"OK","NOK")</f>
        <v>0</v>
      </c>
      <c r="U68" s="11">
        <f>IF(U43=U17,"OK","NOK")</f>
        <v>0</v>
      </c>
      <c r="V68" s="11">
        <f>IF(V43=V17,"OK","NOK")</f>
        <v>0</v>
      </c>
      <c r="W68" s="11">
        <f>IF(W43=W17,"OK","NOK")</f>
        <v>0</v>
      </c>
      <c r="X68" s="11">
        <f>IF(X43=X17,"OK","NOK")</f>
        <v>0</v>
      </c>
      <c r="Y68" s="11">
        <f>IF(Y43=Y17,"OK","NOK")</f>
        <v>0</v>
      </c>
    </row>
    <row r="69" spans="1:25">
      <c r="A69" s="14" t="s">
        <v>71</v>
      </c>
      <c r="B69" s="11">
        <f>IF(B44=B18,"OK","NOK")</f>
        <v>0</v>
      </c>
      <c r="C69" s="11">
        <f>IF(C44=C18,"OK","NOK")</f>
        <v>0</v>
      </c>
      <c r="D69" s="11">
        <f>IF(D44=D18,"OK","NOK")</f>
        <v>0</v>
      </c>
      <c r="E69" s="11">
        <f>IF(E44=E18,"OK","NOK")</f>
        <v>0</v>
      </c>
      <c r="F69" s="11">
        <f>IF(F44=F18,"OK","NOK")</f>
        <v>0</v>
      </c>
      <c r="G69" s="11">
        <f>IF(G44=G18,"OK","NOK")</f>
        <v>0</v>
      </c>
      <c r="H69" s="11">
        <f>IF(H44=H18,"OK","NOK")</f>
        <v>0</v>
      </c>
      <c r="I69" s="11">
        <f>IF(I44=I18,"OK","NOK")</f>
        <v>0</v>
      </c>
      <c r="J69" s="11">
        <f>IF(J44=J18,"OK","NOK")</f>
        <v>0</v>
      </c>
      <c r="K69" s="11">
        <f>IF(K44=K18,"OK","NOK")</f>
        <v>0</v>
      </c>
      <c r="L69" s="11">
        <f>IF(L44=L18,"OK","NOK")</f>
        <v>0</v>
      </c>
      <c r="M69" s="11">
        <f>IF(M44=M18,"OK","NOK")</f>
        <v>0</v>
      </c>
      <c r="N69" s="11">
        <f>IF(N44=N18,"OK","NOK")</f>
        <v>0</v>
      </c>
      <c r="O69" s="11">
        <f>IF(O44=O18,"OK","NOK")</f>
        <v>0</v>
      </c>
      <c r="P69" s="11">
        <f>IF(P44=P18,"OK","NOK")</f>
        <v>0</v>
      </c>
      <c r="Q69" s="11">
        <f>IF(Q44=Q18,"OK","NOK")</f>
        <v>0</v>
      </c>
      <c r="R69" s="11">
        <f>IF(R44=R18,"OK","NOK")</f>
        <v>0</v>
      </c>
      <c r="S69" s="11">
        <f>IF(S44=S18,"OK","NOK")</f>
        <v>0</v>
      </c>
      <c r="T69" s="11">
        <f>IF(T44=T18,"OK","NOK")</f>
        <v>0</v>
      </c>
      <c r="U69" s="11">
        <f>IF(U44=U18,"OK","NOK")</f>
        <v>0</v>
      </c>
      <c r="V69" s="11">
        <f>IF(V44=V18,"OK","NOK")</f>
        <v>0</v>
      </c>
      <c r="W69" s="11">
        <f>IF(W44=W18,"OK","NOK")</f>
        <v>0</v>
      </c>
      <c r="X69" s="11">
        <f>IF(X44=X18,"OK","NOK")</f>
        <v>0</v>
      </c>
      <c r="Y69" s="11">
        <f>IF(Y44=Y18,"OK","NOK")</f>
        <v>0</v>
      </c>
    </row>
    <row r="70" spans="1:25">
      <c r="A70" s="14" t="s">
        <v>72</v>
      </c>
      <c r="B70" s="11">
        <f>IF(B45=B19,"OK","NOK")</f>
        <v>0</v>
      </c>
      <c r="C70" s="11">
        <f>IF(C45=C19,"OK","NOK")</f>
        <v>0</v>
      </c>
      <c r="D70" s="11">
        <f>IF(D45=D19,"OK","NOK")</f>
        <v>0</v>
      </c>
      <c r="E70" s="11">
        <f>IF(E45=E19,"OK","NOK")</f>
        <v>0</v>
      </c>
      <c r="F70" s="11">
        <f>IF(F45=F19,"OK","NOK")</f>
        <v>0</v>
      </c>
      <c r="G70" s="11">
        <f>IF(G45=G19,"OK","NOK")</f>
        <v>0</v>
      </c>
      <c r="H70" s="11">
        <f>IF(H45=H19,"OK","NOK")</f>
        <v>0</v>
      </c>
      <c r="I70" s="11">
        <f>IF(I45=I19,"OK","NOK")</f>
        <v>0</v>
      </c>
      <c r="J70" s="11">
        <f>IF(J45=J19,"OK","NOK")</f>
        <v>0</v>
      </c>
      <c r="K70" s="11">
        <f>IF(K45=K19,"OK","NOK")</f>
        <v>0</v>
      </c>
      <c r="L70" s="11">
        <f>IF(L45=L19,"OK","NOK")</f>
        <v>0</v>
      </c>
      <c r="M70" s="11">
        <f>IF(M45=M19,"OK","NOK")</f>
        <v>0</v>
      </c>
      <c r="N70" s="11">
        <f>IF(N45=N19,"OK","NOK")</f>
        <v>0</v>
      </c>
      <c r="O70" s="11">
        <f>IF(O45=O19,"OK","NOK")</f>
        <v>0</v>
      </c>
      <c r="P70" s="11">
        <f>IF(P45=P19,"OK","NOK")</f>
        <v>0</v>
      </c>
      <c r="Q70" s="11">
        <f>IF(Q45=Q19,"OK","NOK")</f>
        <v>0</v>
      </c>
      <c r="R70" s="11">
        <f>IF(R45=R19,"OK","NOK")</f>
        <v>0</v>
      </c>
      <c r="S70" s="11">
        <f>IF(S45=S19,"OK","NOK")</f>
        <v>0</v>
      </c>
      <c r="T70" s="11">
        <f>IF(T45=T19,"OK","NOK")</f>
        <v>0</v>
      </c>
      <c r="U70" s="11">
        <f>IF(U45=U19,"OK","NOK")</f>
        <v>0</v>
      </c>
      <c r="V70" s="11">
        <f>IF(V45=V19,"OK","NOK")</f>
        <v>0</v>
      </c>
      <c r="W70" s="11">
        <f>IF(W45=W19,"OK","NOK")</f>
        <v>0</v>
      </c>
      <c r="X70" s="11">
        <f>IF(X45=X19,"OK","NOK")</f>
        <v>0</v>
      </c>
      <c r="Y70" s="11">
        <f>IF(Y45=Y19,"OK","NOK")</f>
        <v>0</v>
      </c>
    </row>
    <row r="71" spans="1:25">
      <c r="A71" s="14" t="s">
        <v>73</v>
      </c>
      <c r="B71" s="11">
        <f>IF(B46=B20,"OK","NOK")</f>
        <v>0</v>
      </c>
      <c r="C71" s="11">
        <f>IF(C46=C20,"OK","NOK")</f>
        <v>0</v>
      </c>
      <c r="D71" s="11">
        <f>IF(D46=D20,"OK","NOK")</f>
        <v>0</v>
      </c>
      <c r="E71" s="11">
        <f>IF(E46=E20,"OK","NOK")</f>
        <v>0</v>
      </c>
      <c r="F71" s="11">
        <f>IF(F46=F20,"OK","NOK")</f>
        <v>0</v>
      </c>
      <c r="G71" s="11">
        <f>IF(G46=G20,"OK","NOK")</f>
        <v>0</v>
      </c>
      <c r="H71" s="11">
        <f>IF(H46=H20,"OK","NOK")</f>
        <v>0</v>
      </c>
      <c r="I71" s="11">
        <f>IF(I46=I20,"OK","NOK")</f>
        <v>0</v>
      </c>
      <c r="J71" s="11">
        <f>IF(J46=J20,"OK","NOK")</f>
        <v>0</v>
      </c>
      <c r="K71" s="11">
        <f>IF(K46=K20,"OK","NOK")</f>
        <v>0</v>
      </c>
      <c r="L71" s="11">
        <f>IF(L46=L20,"OK","NOK")</f>
        <v>0</v>
      </c>
      <c r="M71" s="11">
        <f>IF(M46=M20,"OK","NOK")</f>
        <v>0</v>
      </c>
      <c r="N71" s="11">
        <f>IF(N46=N20,"OK","NOK")</f>
        <v>0</v>
      </c>
      <c r="O71" s="11">
        <f>IF(O46=O20,"OK","NOK")</f>
        <v>0</v>
      </c>
      <c r="P71" s="11">
        <f>IF(P46=P20,"OK","NOK")</f>
        <v>0</v>
      </c>
      <c r="Q71" s="11">
        <f>IF(Q46=Q20,"OK","NOK")</f>
        <v>0</v>
      </c>
      <c r="R71" s="11">
        <f>IF(R46=R20,"OK","NOK")</f>
        <v>0</v>
      </c>
      <c r="S71" s="11">
        <f>IF(S46=S20,"OK","NOK")</f>
        <v>0</v>
      </c>
      <c r="T71" s="11">
        <f>IF(T46=T20,"OK","NOK")</f>
        <v>0</v>
      </c>
      <c r="U71" s="11">
        <f>IF(U46=U20,"OK","NOK")</f>
        <v>0</v>
      </c>
      <c r="V71" s="11">
        <f>IF(V46=V20,"OK","NOK")</f>
        <v>0</v>
      </c>
      <c r="W71" s="11">
        <f>IF(W46=W20,"OK","NOK")</f>
        <v>0</v>
      </c>
      <c r="X71" s="11">
        <f>IF(X46=X20,"OK","NOK")</f>
        <v>0</v>
      </c>
      <c r="Y71" s="11">
        <f>IF(Y46=Y20,"OK","NOK")</f>
        <v>0</v>
      </c>
    </row>
    <row r="72" spans="1:25">
      <c r="A72" s="14" t="s">
        <v>74</v>
      </c>
      <c r="B72" s="11">
        <f>IF(B47=B21,"OK","NOK")</f>
        <v>0</v>
      </c>
      <c r="C72" s="11">
        <f>IF(C47=C21,"OK","NOK")</f>
        <v>0</v>
      </c>
      <c r="D72" s="11">
        <f>IF(D47=D21,"OK","NOK")</f>
        <v>0</v>
      </c>
      <c r="E72" s="11">
        <f>IF(E47=E21,"OK","NOK")</f>
        <v>0</v>
      </c>
      <c r="F72" s="11">
        <f>IF(F47=F21,"OK","NOK")</f>
        <v>0</v>
      </c>
      <c r="G72" s="11">
        <f>IF(G47=G21,"OK","NOK")</f>
        <v>0</v>
      </c>
      <c r="H72" s="11">
        <f>IF(H47=H21,"OK","NOK")</f>
        <v>0</v>
      </c>
      <c r="I72" s="11">
        <f>IF(I47=I21,"OK","NOK")</f>
        <v>0</v>
      </c>
      <c r="J72" s="11">
        <f>IF(J47=J21,"OK","NOK")</f>
        <v>0</v>
      </c>
      <c r="K72" s="11">
        <f>IF(K47=K21,"OK","NOK")</f>
        <v>0</v>
      </c>
      <c r="L72" s="11">
        <f>IF(L47=L21,"OK","NOK")</f>
        <v>0</v>
      </c>
      <c r="M72" s="11">
        <f>IF(M47=M21,"OK","NOK")</f>
        <v>0</v>
      </c>
      <c r="N72" s="11">
        <f>IF(N47=N21,"OK","NOK")</f>
        <v>0</v>
      </c>
      <c r="O72" s="11">
        <f>IF(O47=O21,"OK","NOK")</f>
        <v>0</v>
      </c>
      <c r="P72" s="11">
        <f>IF(P47=P21,"OK","NOK")</f>
        <v>0</v>
      </c>
      <c r="Q72" s="11">
        <f>IF(Q47=Q21,"OK","NOK")</f>
        <v>0</v>
      </c>
      <c r="R72" s="11">
        <f>IF(R47=R21,"OK","NOK")</f>
        <v>0</v>
      </c>
      <c r="S72" s="11">
        <f>IF(S47=S21,"OK","NOK")</f>
        <v>0</v>
      </c>
      <c r="T72" s="11">
        <f>IF(T47=T21,"OK","NOK")</f>
        <v>0</v>
      </c>
      <c r="U72" s="11">
        <f>IF(U47=U21,"OK","NOK")</f>
        <v>0</v>
      </c>
      <c r="V72" s="11">
        <f>IF(V47=V21,"OK","NOK")</f>
        <v>0</v>
      </c>
      <c r="W72" s="11">
        <f>IF(W47=W21,"OK","NOK")</f>
        <v>0</v>
      </c>
      <c r="X72" s="11">
        <f>IF(X47=X21,"OK","NOK")</f>
        <v>0</v>
      </c>
      <c r="Y72" s="11">
        <f>IF(Y47=Y21,"OK","NOK")</f>
        <v>0</v>
      </c>
    </row>
    <row r="73" spans="1:25">
      <c r="A73" s="14" t="s">
        <v>75</v>
      </c>
      <c r="B73" s="11">
        <f>IF(B48=B22,"OK","NOK")</f>
        <v>0</v>
      </c>
      <c r="C73" s="11">
        <f>IF(C48=C22,"OK","NOK")</f>
        <v>0</v>
      </c>
      <c r="D73" s="11">
        <f>IF(D48=D22,"OK","NOK")</f>
        <v>0</v>
      </c>
      <c r="E73" s="11">
        <f>IF(E48=E22,"OK","NOK")</f>
        <v>0</v>
      </c>
      <c r="F73" s="11">
        <f>IF(F48=F22,"OK","NOK")</f>
        <v>0</v>
      </c>
      <c r="G73" s="11">
        <f>IF(G48=G22,"OK","NOK")</f>
        <v>0</v>
      </c>
      <c r="H73" s="11">
        <f>IF(H48=H22,"OK","NOK")</f>
        <v>0</v>
      </c>
      <c r="I73" s="11">
        <f>IF(I48=I22,"OK","NOK")</f>
        <v>0</v>
      </c>
      <c r="J73" s="11">
        <f>IF(J48=J22,"OK","NOK")</f>
        <v>0</v>
      </c>
      <c r="K73" s="11">
        <f>IF(K48=K22,"OK","NOK")</f>
        <v>0</v>
      </c>
      <c r="L73" s="11">
        <f>IF(L48=L22,"OK","NOK")</f>
        <v>0</v>
      </c>
      <c r="M73" s="11">
        <f>IF(M48=M22,"OK","NOK")</f>
        <v>0</v>
      </c>
      <c r="N73" s="11">
        <f>IF(N48=N22,"OK","NOK")</f>
        <v>0</v>
      </c>
      <c r="O73" s="11">
        <f>IF(O48=O22,"OK","NOK")</f>
        <v>0</v>
      </c>
      <c r="P73" s="11">
        <f>IF(P48=P22,"OK","NOK")</f>
        <v>0</v>
      </c>
      <c r="Q73" s="11">
        <f>IF(Q48=Q22,"OK","NOK")</f>
        <v>0</v>
      </c>
      <c r="R73" s="11">
        <f>IF(R48=R22,"OK","NOK")</f>
        <v>0</v>
      </c>
      <c r="S73" s="11">
        <f>IF(S48=S22,"OK","NOK")</f>
        <v>0</v>
      </c>
      <c r="T73" s="11">
        <f>IF(T48=T22,"OK","NOK")</f>
        <v>0</v>
      </c>
      <c r="U73" s="11">
        <f>IF(U48=U22,"OK","NOK")</f>
        <v>0</v>
      </c>
      <c r="V73" s="11">
        <f>IF(V48=V22,"OK","NOK")</f>
        <v>0</v>
      </c>
      <c r="W73" s="11">
        <f>IF(W48=W22,"OK","NOK")</f>
        <v>0</v>
      </c>
      <c r="X73" s="11">
        <f>IF(X48=X22,"OK","NOK")</f>
        <v>0</v>
      </c>
      <c r="Y73" s="11">
        <f>IF(Y48=Y22,"OK","NOK")</f>
        <v>0</v>
      </c>
    </row>
    <row r="74" spans="1:25">
      <c r="A74" s="14" t="s">
        <v>76</v>
      </c>
      <c r="B74" s="11">
        <f>IF(B49=B23,"OK","NOK")</f>
        <v>0</v>
      </c>
      <c r="C74" s="11">
        <f>IF(C49=C23,"OK","NOK")</f>
        <v>0</v>
      </c>
      <c r="D74" s="11">
        <f>IF(D49=D23,"OK","NOK")</f>
        <v>0</v>
      </c>
      <c r="E74" s="11">
        <f>IF(E49=E23,"OK","NOK")</f>
        <v>0</v>
      </c>
      <c r="F74" s="11">
        <f>IF(F49=F23,"OK","NOK")</f>
        <v>0</v>
      </c>
      <c r="G74" s="11">
        <f>IF(G49=G23,"OK","NOK")</f>
        <v>0</v>
      </c>
      <c r="H74" s="11">
        <f>IF(H49=H23,"OK","NOK")</f>
        <v>0</v>
      </c>
      <c r="I74" s="11">
        <f>IF(I49=I23,"OK","NOK")</f>
        <v>0</v>
      </c>
      <c r="J74" s="11">
        <f>IF(J49=J23,"OK","NOK")</f>
        <v>0</v>
      </c>
      <c r="K74" s="11">
        <f>IF(K49=K23,"OK","NOK")</f>
        <v>0</v>
      </c>
      <c r="L74" s="11">
        <f>IF(L49=L23,"OK","NOK")</f>
        <v>0</v>
      </c>
      <c r="M74" s="11">
        <f>IF(M49=M23,"OK","NOK")</f>
        <v>0</v>
      </c>
      <c r="N74" s="11">
        <f>IF(N49=N23,"OK","NOK")</f>
        <v>0</v>
      </c>
      <c r="O74" s="11">
        <f>IF(O49=O23,"OK","NOK")</f>
        <v>0</v>
      </c>
      <c r="P74" s="11">
        <f>IF(P49=P23,"OK","NOK")</f>
        <v>0</v>
      </c>
      <c r="Q74" s="11">
        <f>IF(Q49=Q23,"OK","NOK")</f>
        <v>0</v>
      </c>
      <c r="R74" s="11">
        <f>IF(R49=R23,"OK","NOK")</f>
        <v>0</v>
      </c>
      <c r="S74" s="11">
        <f>IF(S49=S23,"OK","NOK")</f>
        <v>0</v>
      </c>
      <c r="T74" s="11">
        <f>IF(T49=T23,"OK","NOK")</f>
        <v>0</v>
      </c>
      <c r="U74" s="11">
        <f>IF(U49=U23,"OK","NOK")</f>
        <v>0</v>
      </c>
      <c r="V74" s="11">
        <f>IF(V49=V23,"OK","NOK")</f>
        <v>0</v>
      </c>
      <c r="W74" s="11">
        <f>IF(W49=W23,"OK","NOK")</f>
        <v>0</v>
      </c>
      <c r="X74" s="11">
        <f>IF(X49=X23,"OK","NOK")</f>
        <v>0</v>
      </c>
      <c r="Y74" s="11">
        <f>IF(Y49=Y23,"OK","NOK")</f>
        <v>0</v>
      </c>
    </row>
    <row r="75" spans="1:25">
      <c r="A75" s="14" t="s">
        <v>77</v>
      </c>
      <c r="B75" s="11">
        <f>IF(B50=B24,"OK","NOK")</f>
        <v>0</v>
      </c>
      <c r="C75" s="11">
        <f>IF(C50=C24,"OK","NOK")</f>
        <v>0</v>
      </c>
      <c r="D75" s="11">
        <f>IF(D50=D24,"OK","NOK")</f>
        <v>0</v>
      </c>
      <c r="E75" s="11">
        <f>IF(E50=E24,"OK","NOK")</f>
        <v>0</v>
      </c>
      <c r="F75" s="11">
        <f>IF(F50=F24,"OK","NOK")</f>
        <v>0</v>
      </c>
      <c r="G75" s="11">
        <f>IF(G50=G24,"OK","NOK")</f>
        <v>0</v>
      </c>
      <c r="H75" s="11">
        <f>IF(H50=H24,"OK","NOK")</f>
        <v>0</v>
      </c>
      <c r="I75" s="11">
        <f>IF(I50=I24,"OK","NOK")</f>
        <v>0</v>
      </c>
      <c r="J75" s="11">
        <f>IF(J50=J24,"OK","NOK")</f>
        <v>0</v>
      </c>
      <c r="K75" s="11">
        <f>IF(K50=K24,"OK","NOK")</f>
        <v>0</v>
      </c>
      <c r="L75" s="11">
        <f>IF(L50=L24,"OK","NOK")</f>
        <v>0</v>
      </c>
      <c r="M75" s="11">
        <f>IF(M50=M24,"OK","NOK")</f>
        <v>0</v>
      </c>
      <c r="N75" s="11">
        <f>IF(N50=N24,"OK","NOK")</f>
        <v>0</v>
      </c>
      <c r="O75" s="11">
        <f>IF(O50=O24,"OK","NOK")</f>
        <v>0</v>
      </c>
      <c r="P75" s="11">
        <f>IF(P50=P24,"OK","NOK")</f>
        <v>0</v>
      </c>
      <c r="Q75" s="11">
        <f>IF(Q50=Q24,"OK","NOK")</f>
        <v>0</v>
      </c>
      <c r="R75" s="11">
        <f>IF(R50=R24,"OK","NOK")</f>
        <v>0</v>
      </c>
      <c r="S75" s="11">
        <f>IF(S50=S24,"OK","NOK")</f>
        <v>0</v>
      </c>
      <c r="T75" s="11">
        <f>IF(T50=T24,"OK","NOK")</f>
        <v>0</v>
      </c>
      <c r="U75" s="11">
        <f>IF(U50=U24,"OK","NOK")</f>
        <v>0</v>
      </c>
      <c r="V75" s="11">
        <f>IF(V50=V24,"OK","NOK")</f>
        <v>0</v>
      </c>
      <c r="W75" s="11">
        <f>IF(W50=W24,"OK","NOK")</f>
        <v>0</v>
      </c>
      <c r="X75" s="11">
        <f>IF(X50=X24,"OK","NOK")</f>
        <v>0</v>
      </c>
      <c r="Y75" s="11">
        <f>IF(Y50=Y24,"OK","NOK")</f>
        <v>0</v>
      </c>
    </row>
    <row r="76" spans="1:25">
      <c r="A76" s="14" t="s">
        <v>78</v>
      </c>
      <c r="B76" s="11">
        <f>IF(B51=B25,"OK","NOK")</f>
        <v>0</v>
      </c>
      <c r="C76" s="11">
        <f>IF(C51=C25,"OK","NOK")</f>
        <v>0</v>
      </c>
      <c r="D76" s="11">
        <f>IF(D51=D25,"OK","NOK")</f>
        <v>0</v>
      </c>
      <c r="E76" s="11">
        <f>IF(E51=E25,"OK","NOK")</f>
        <v>0</v>
      </c>
      <c r="F76" s="11">
        <f>IF(F51=F25,"OK","NOK")</f>
        <v>0</v>
      </c>
      <c r="G76" s="11">
        <f>IF(G51=G25,"OK","NOK")</f>
        <v>0</v>
      </c>
      <c r="H76" s="11">
        <f>IF(H51=H25,"OK","NOK")</f>
        <v>0</v>
      </c>
      <c r="I76" s="11">
        <f>IF(I51=I25,"OK","NOK")</f>
        <v>0</v>
      </c>
      <c r="J76" s="11">
        <f>IF(J51=J25,"OK","NOK")</f>
        <v>0</v>
      </c>
      <c r="K76" s="11">
        <f>IF(K51=K25,"OK","NOK")</f>
        <v>0</v>
      </c>
      <c r="L76" s="11">
        <f>IF(L51=L25,"OK","NOK")</f>
        <v>0</v>
      </c>
      <c r="M76" s="11">
        <f>IF(M51=M25,"OK","NOK")</f>
        <v>0</v>
      </c>
      <c r="N76" s="11">
        <f>IF(N51=N25,"OK","NOK")</f>
        <v>0</v>
      </c>
      <c r="O76" s="11">
        <f>IF(O51=O25,"OK","NOK")</f>
        <v>0</v>
      </c>
      <c r="P76" s="11">
        <f>IF(P51=P25,"OK","NOK")</f>
        <v>0</v>
      </c>
      <c r="Q76" s="11">
        <f>IF(Q51=Q25,"OK","NOK")</f>
        <v>0</v>
      </c>
      <c r="R76" s="11">
        <f>IF(R51=R25,"OK","NOK")</f>
        <v>0</v>
      </c>
      <c r="S76" s="11">
        <f>IF(S51=S25,"OK","NOK")</f>
        <v>0</v>
      </c>
      <c r="T76" s="11">
        <f>IF(T51=T25,"OK","NOK")</f>
        <v>0</v>
      </c>
      <c r="U76" s="11">
        <f>IF(U51=U25,"OK","NOK")</f>
        <v>0</v>
      </c>
      <c r="V76" s="11">
        <f>IF(V51=V25,"OK","NOK")</f>
        <v>0</v>
      </c>
      <c r="W76" s="11">
        <f>IF(W51=W25,"OK","NOK")</f>
        <v>0</v>
      </c>
      <c r="X76" s="11">
        <f>IF(X51=X25,"OK","NOK")</f>
        <v>0</v>
      </c>
      <c r="Y76" s="11">
        <f>IF(Y51=Y25,"OK","NOK")</f>
        <v>0</v>
      </c>
    </row>
    <row r="77" spans="1:25">
      <c r="A77" s="14" t="s">
        <v>79</v>
      </c>
      <c r="B77" s="11">
        <f>IF(B52=B26,"OK","NOK")</f>
        <v>0</v>
      </c>
      <c r="C77" s="11">
        <f>IF(C52=C26,"OK","NOK")</f>
        <v>0</v>
      </c>
      <c r="D77" s="11">
        <f>IF(D52=D26,"OK","NOK")</f>
        <v>0</v>
      </c>
      <c r="E77" s="11">
        <f>IF(E52=E26,"OK","NOK")</f>
        <v>0</v>
      </c>
      <c r="F77" s="11">
        <f>IF(F52=F26,"OK","NOK")</f>
        <v>0</v>
      </c>
      <c r="G77" s="11">
        <f>IF(G52=G26,"OK","NOK")</f>
        <v>0</v>
      </c>
      <c r="H77" s="11">
        <f>IF(H52=H26,"OK","NOK")</f>
        <v>0</v>
      </c>
      <c r="I77" s="11">
        <f>IF(I52=I26,"OK","NOK")</f>
        <v>0</v>
      </c>
      <c r="J77" s="11">
        <f>IF(J52=J26,"OK","NOK")</f>
        <v>0</v>
      </c>
      <c r="K77" s="11">
        <f>IF(K52=K26,"OK","NOK")</f>
        <v>0</v>
      </c>
      <c r="L77" s="11">
        <f>IF(L52=L26,"OK","NOK")</f>
        <v>0</v>
      </c>
      <c r="M77" s="11">
        <f>IF(M52=M26,"OK","NOK")</f>
        <v>0</v>
      </c>
      <c r="N77" s="11">
        <f>IF(N52=N26,"OK","NOK")</f>
        <v>0</v>
      </c>
      <c r="O77" s="11">
        <f>IF(O52=O26,"OK","NOK")</f>
        <v>0</v>
      </c>
      <c r="P77" s="11">
        <f>IF(P52=P26,"OK","NOK")</f>
        <v>0</v>
      </c>
      <c r="Q77" s="11">
        <f>IF(Q52=Q26,"OK","NOK")</f>
        <v>0</v>
      </c>
      <c r="R77" s="11">
        <f>IF(R52=R26,"OK","NOK")</f>
        <v>0</v>
      </c>
      <c r="S77" s="11">
        <f>IF(S52=S26,"OK","NOK")</f>
        <v>0</v>
      </c>
      <c r="T77" s="11">
        <f>IF(T52=T26,"OK","NOK")</f>
        <v>0</v>
      </c>
      <c r="U77" s="11">
        <f>IF(U52=U26,"OK","NOK")</f>
        <v>0</v>
      </c>
      <c r="V77" s="11">
        <f>IF(V52=V26,"OK","NOK")</f>
        <v>0</v>
      </c>
      <c r="W77" s="11">
        <f>IF(W52=W26,"OK","NOK")</f>
        <v>0</v>
      </c>
      <c r="X77" s="11">
        <f>IF(X52=X26,"OK","NOK")</f>
        <v>0</v>
      </c>
      <c r="Y77" s="11">
        <f>IF(Y52=Y26,"OK","NOK")</f>
        <v>0</v>
      </c>
    </row>
    <row r="78" spans="1:25">
      <c r="A78" s="14" t="s">
        <v>80</v>
      </c>
      <c r="B78" s="11">
        <f>IF(B53=B27,"OK","NOK")</f>
        <v>0</v>
      </c>
      <c r="C78" s="11">
        <f>IF(C53=C27,"OK","NOK")</f>
        <v>0</v>
      </c>
      <c r="D78" s="11">
        <f>IF(D53=D27,"OK","NOK")</f>
        <v>0</v>
      </c>
      <c r="E78" s="11">
        <f>IF(E53=E27,"OK","NOK")</f>
        <v>0</v>
      </c>
      <c r="F78" s="11">
        <f>IF(F53=F27,"OK","NOK")</f>
        <v>0</v>
      </c>
      <c r="G78" s="11">
        <f>IF(G53=G27,"OK","NOK")</f>
        <v>0</v>
      </c>
      <c r="H78" s="11">
        <f>IF(H53=H27,"OK","NOK")</f>
        <v>0</v>
      </c>
      <c r="I78" s="11">
        <f>IF(I53=I27,"OK","NOK")</f>
        <v>0</v>
      </c>
      <c r="J78" s="11">
        <f>IF(J53=J27,"OK","NOK")</f>
        <v>0</v>
      </c>
      <c r="K78" s="11">
        <f>IF(K53=K27,"OK","NOK")</f>
        <v>0</v>
      </c>
      <c r="L78" s="11">
        <f>IF(L53=L27,"OK","NOK")</f>
        <v>0</v>
      </c>
      <c r="M78" s="11">
        <f>IF(M53=M27,"OK","NOK")</f>
        <v>0</v>
      </c>
      <c r="N78" s="11">
        <f>IF(N53=N27,"OK","NOK")</f>
        <v>0</v>
      </c>
      <c r="O78" s="11">
        <f>IF(O53=O27,"OK","NOK")</f>
        <v>0</v>
      </c>
      <c r="P78" s="11">
        <f>IF(P53=P27,"OK","NOK")</f>
        <v>0</v>
      </c>
      <c r="Q78" s="11">
        <f>IF(Q53=Q27,"OK","NOK")</f>
        <v>0</v>
      </c>
      <c r="R78" s="11">
        <f>IF(R53=R27,"OK","NOK")</f>
        <v>0</v>
      </c>
      <c r="S78" s="11">
        <f>IF(S53=S27,"OK","NOK")</f>
        <v>0</v>
      </c>
      <c r="T78" s="11">
        <f>IF(T53=T27,"OK","NOK")</f>
        <v>0</v>
      </c>
      <c r="U78" s="11">
        <f>IF(U53=U27,"OK","NOK")</f>
        <v>0</v>
      </c>
      <c r="V78" s="11">
        <f>IF(V53=V27,"OK","NOK")</f>
        <v>0</v>
      </c>
      <c r="W78" s="11">
        <f>IF(W53=W27,"OK","NOK")</f>
        <v>0</v>
      </c>
      <c r="X78" s="11">
        <f>IF(X53=X27,"OK","NOK")</f>
        <v>0</v>
      </c>
      <c r="Y78" s="11">
        <f>IF(Y53=Y27,"OK","NOK")</f>
        <v>0</v>
      </c>
    </row>
    <row r="85" spans="1:25">
      <c r="A85" s="19" t="s">
        <v>27</v>
      </c>
    </row>
    <row r="86" spans="1:25">
      <c r="A86" s="19" t="s">
        <v>144</v>
      </c>
    </row>
    <row r="87" spans="1:25">
      <c r="A87" s="8" t="s">
        <v>57</v>
      </c>
      <c r="B87" s="8" t="s">
        <v>145</v>
      </c>
      <c r="C87" s="8" t="s">
        <v>146</v>
      </c>
      <c r="D87" s="8" t="s">
        <v>147</v>
      </c>
      <c r="E87" s="8" t="s">
        <v>148</v>
      </c>
      <c r="F87" s="8" t="s">
        <v>149</v>
      </c>
      <c r="G87" s="8" t="s">
        <v>150</v>
      </c>
      <c r="H87" s="8" t="s">
        <v>151</v>
      </c>
      <c r="I87" s="8" t="s">
        <v>152</v>
      </c>
      <c r="J87" s="8" t="s">
        <v>153</v>
      </c>
      <c r="K87" s="8" t="s">
        <v>154</v>
      </c>
      <c r="L87" s="8" t="s">
        <v>155</v>
      </c>
      <c r="M87" s="8" t="s">
        <v>156</v>
      </c>
      <c r="N87" s="8" t="s">
        <v>157</v>
      </c>
      <c r="O87" s="8" t="s">
        <v>158</v>
      </c>
      <c r="P87" s="8" t="s">
        <v>159</v>
      </c>
      <c r="Q87" s="8" t="s">
        <v>160</v>
      </c>
      <c r="R87" s="8" t="s">
        <v>161</v>
      </c>
      <c r="S87" s="8" t="s">
        <v>162</v>
      </c>
      <c r="T87" s="8" t="s">
        <v>163</v>
      </c>
      <c r="U87" s="8" t="s">
        <v>164</v>
      </c>
      <c r="V87" s="8" t="s">
        <v>165</v>
      </c>
      <c r="W87" s="8" t="s">
        <v>166</v>
      </c>
      <c r="X87" s="8" t="s">
        <v>167</v>
      </c>
      <c r="Y87" s="8" t="s">
        <v>168</v>
      </c>
    </row>
    <row r="88" spans="1:25">
      <c r="A88" s="14" t="s">
        <v>61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</row>
    <row r="89" spans="1:25">
      <c r="A89" s="14" t="s">
        <v>62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</row>
    <row r="90" spans="1:25">
      <c r="A90" s="14" t="s">
        <v>63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</row>
    <row r="91" spans="1:25">
      <c r="A91" s="14" t="s">
        <v>64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</row>
    <row r="92" spans="1:25">
      <c r="A92" s="14" t="s">
        <v>65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</row>
    <row r="93" spans="1:25">
      <c r="A93" s="14" t="s">
        <v>66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</row>
    <row r="94" spans="1:25">
      <c r="A94" s="14" t="s">
        <v>67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</row>
    <row r="95" spans="1:25">
      <c r="A95" s="14" t="s">
        <v>68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</row>
    <row r="96" spans="1:25">
      <c r="A96" s="14" t="s">
        <v>69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</row>
    <row r="97" spans="1:25">
      <c r="A97" s="14" t="s">
        <v>70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</row>
    <row r="98" spans="1:25">
      <c r="A98" s="14" t="s">
        <v>71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</row>
    <row r="99" spans="1:25">
      <c r="A99" s="14" t="s">
        <v>72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</row>
    <row r="100" spans="1:25">
      <c r="A100" s="14" t="s">
        <v>73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</row>
    <row r="101" spans="1:25">
      <c r="A101" s="14" t="s">
        <v>74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</row>
    <row r="102" spans="1:25">
      <c r="A102" s="14" t="s">
        <v>75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</row>
    <row r="103" spans="1:25">
      <c r="A103" s="14" t="s">
        <v>76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</row>
    <row r="104" spans="1:25">
      <c r="A104" s="14" t="s">
        <v>77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</row>
    <row r="105" spans="1:25">
      <c r="A105" s="14" t="s">
        <v>78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</row>
    <row r="106" spans="1:25">
      <c r="A106" s="14" t="s">
        <v>79</v>
      </c>
      <c r="B106" s="12">
        <v>2033.6</v>
      </c>
      <c r="C106" s="12">
        <v>2050</v>
      </c>
      <c r="D106" s="12">
        <v>2066.4</v>
      </c>
      <c r="E106" s="12">
        <v>2082.8</v>
      </c>
      <c r="F106" s="12">
        <v>2099.2</v>
      </c>
      <c r="G106" s="12">
        <v>2115.6</v>
      </c>
      <c r="H106" s="12">
        <v>2132</v>
      </c>
      <c r="I106" s="12">
        <v>2148.4</v>
      </c>
      <c r="J106" s="12">
        <v>2164.8</v>
      </c>
      <c r="K106" s="12">
        <v>2181.2</v>
      </c>
      <c r="L106" s="12">
        <v>2197.6</v>
      </c>
      <c r="M106" s="12">
        <v>2214</v>
      </c>
      <c r="N106" s="12">
        <v>2230.4</v>
      </c>
      <c r="O106" s="12">
        <v>2246.8</v>
      </c>
      <c r="P106" s="12">
        <v>2263.2</v>
      </c>
      <c r="Q106" s="12">
        <v>2279.6</v>
      </c>
      <c r="R106" s="12">
        <v>2296</v>
      </c>
      <c r="S106" s="12">
        <v>2312.4</v>
      </c>
      <c r="T106" s="12">
        <v>2328.8</v>
      </c>
      <c r="U106" s="12">
        <v>2345.2</v>
      </c>
      <c r="V106" s="12">
        <v>2361.6</v>
      </c>
      <c r="W106" s="12">
        <v>2378</v>
      </c>
      <c r="X106" s="12">
        <v>2394.4</v>
      </c>
      <c r="Y106" s="12">
        <v>2410.8</v>
      </c>
    </row>
    <row r="107" spans="1:25">
      <c r="A107" s="14" t="s">
        <v>80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</row>
    <row r="112" spans="1:25">
      <c r="A112" s="19" t="s">
        <v>169</v>
      </c>
    </row>
    <row r="113" spans="1:25">
      <c r="A113" s="8" t="s">
        <v>57</v>
      </c>
      <c r="B113" s="8" t="s">
        <v>145</v>
      </c>
      <c r="C113" s="8" t="s">
        <v>146</v>
      </c>
      <c r="D113" s="8" t="s">
        <v>147</v>
      </c>
      <c r="E113" s="8" t="s">
        <v>148</v>
      </c>
      <c r="F113" s="8" t="s">
        <v>149</v>
      </c>
      <c r="G113" s="8" t="s">
        <v>150</v>
      </c>
      <c r="H113" s="8" t="s">
        <v>151</v>
      </c>
      <c r="I113" s="8" t="s">
        <v>152</v>
      </c>
      <c r="J113" s="8" t="s">
        <v>153</v>
      </c>
      <c r="K113" s="8" t="s">
        <v>154</v>
      </c>
      <c r="L113" s="8" t="s">
        <v>155</v>
      </c>
      <c r="M113" s="8" t="s">
        <v>156</v>
      </c>
      <c r="N113" s="8" t="s">
        <v>157</v>
      </c>
      <c r="O113" s="8" t="s">
        <v>158</v>
      </c>
      <c r="P113" s="8" t="s">
        <v>159</v>
      </c>
      <c r="Q113" s="8" t="s">
        <v>160</v>
      </c>
      <c r="R113" s="8" t="s">
        <v>161</v>
      </c>
      <c r="S113" s="8" t="s">
        <v>162</v>
      </c>
      <c r="T113" s="8" t="s">
        <v>163</v>
      </c>
      <c r="U113" s="8" t="s">
        <v>164</v>
      </c>
      <c r="V113" s="8" t="s">
        <v>165</v>
      </c>
      <c r="W113" s="8" t="s">
        <v>166</v>
      </c>
      <c r="X113" s="8" t="s">
        <v>167</v>
      </c>
      <c r="Y113" s="8" t="s">
        <v>168</v>
      </c>
    </row>
    <row r="114" spans="1:25">
      <c r="A114" s="14" t="s">
        <v>61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14" t="s">
        <v>62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14" t="s">
        <v>63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14" t="s">
        <v>64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14" t="s">
        <v>65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14" t="s">
        <v>66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14" t="s">
        <v>67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14" t="s">
        <v>68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14" t="s">
        <v>69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14" t="s">
        <v>70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14" t="s">
        <v>71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14" t="s">
        <v>72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14" t="s">
        <v>73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14" t="s">
        <v>74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14" t="s">
        <v>75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14" t="s">
        <v>76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14" t="s">
        <v>77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14" t="s">
        <v>78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14" t="s">
        <v>79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14" t="s">
        <v>80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7" spans="1:25">
      <c r="A137" s="19" t="s">
        <v>170</v>
      </c>
    </row>
    <row r="138" spans="1:25">
      <c r="A138" s="8" t="s">
        <v>57</v>
      </c>
      <c r="B138" s="8" t="s">
        <v>145</v>
      </c>
      <c r="C138" s="8" t="s">
        <v>146</v>
      </c>
      <c r="D138" s="8" t="s">
        <v>147</v>
      </c>
      <c r="E138" s="8" t="s">
        <v>148</v>
      </c>
      <c r="F138" s="8" t="s">
        <v>149</v>
      </c>
      <c r="G138" s="8" t="s">
        <v>150</v>
      </c>
      <c r="H138" s="8" t="s">
        <v>151</v>
      </c>
      <c r="I138" s="8" t="s">
        <v>152</v>
      </c>
      <c r="J138" s="8" t="s">
        <v>153</v>
      </c>
      <c r="K138" s="8" t="s">
        <v>154</v>
      </c>
      <c r="L138" s="8" t="s">
        <v>155</v>
      </c>
      <c r="M138" s="8" t="s">
        <v>156</v>
      </c>
      <c r="N138" s="8" t="s">
        <v>157</v>
      </c>
      <c r="O138" s="8" t="s">
        <v>158</v>
      </c>
      <c r="P138" s="8" t="s">
        <v>159</v>
      </c>
      <c r="Q138" s="8" t="s">
        <v>160</v>
      </c>
      <c r="R138" s="8" t="s">
        <v>161</v>
      </c>
      <c r="S138" s="8" t="s">
        <v>162</v>
      </c>
      <c r="T138" s="8" t="s">
        <v>163</v>
      </c>
      <c r="U138" s="8" t="s">
        <v>164</v>
      </c>
      <c r="V138" s="8" t="s">
        <v>165</v>
      </c>
      <c r="W138" s="8" t="s">
        <v>166</v>
      </c>
      <c r="X138" s="8" t="s">
        <v>167</v>
      </c>
      <c r="Y138" s="8" t="s">
        <v>168</v>
      </c>
    </row>
    <row r="139" spans="1:25">
      <c r="A139" s="14" t="s">
        <v>61</v>
      </c>
      <c r="B139" s="11">
        <f>IF(B114=B88,"OK","NOK")</f>
        <v>0</v>
      </c>
      <c r="C139" s="11">
        <f>IF(C114=C88,"OK","NOK")</f>
        <v>0</v>
      </c>
      <c r="D139" s="11">
        <f>IF(D114=D88,"OK","NOK")</f>
        <v>0</v>
      </c>
      <c r="E139" s="11">
        <f>IF(E114=E88,"OK","NOK")</f>
        <v>0</v>
      </c>
      <c r="F139" s="11">
        <f>IF(F114=F88,"OK","NOK")</f>
        <v>0</v>
      </c>
      <c r="G139" s="11">
        <f>IF(G114=G88,"OK","NOK")</f>
        <v>0</v>
      </c>
      <c r="H139" s="11">
        <f>IF(H114=H88,"OK","NOK")</f>
        <v>0</v>
      </c>
      <c r="I139" s="11">
        <f>IF(I114=I88,"OK","NOK")</f>
        <v>0</v>
      </c>
      <c r="J139" s="11">
        <f>IF(J114=J88,"OK","NOK")</f>
        <v>0</v>
      </c>
      <c r="K139" s="11">
        <f>IF(K114=K88,"OK","NOK")</f>
        <v>0</v>
      </c>
      <c r="L139" s="11">
        <f>IF(L114=L88,"OK","NOK")</f>
        <v>0</v>
      </c>
      <c r="M139" s="11">
        <f>IF(M114=M88,"OK","NOK")</f>
        <v>0</v>
      </c>
      <c r="N139" s="11">
        <f>IF(N114=N88,"OK","NOK")</f>
        <v>0</v>
      </c>
      <c r="O139" s="11">
        <f>IF(O114=O88,"OK","NOK")</f>
        <v>0</v>
      </c>
      <c r="P139" s="11">
        <f>IF(P114=P88,"OK","NOK")</f>
        <v>0</v>
      </c>
      <c r="Q139" s="11">
        <f>IF(Q114=Q88,"OK","NOK")</f>
        <v>0</v>
      </c>
      <c r="R139" s="11">
        <f>IF(R114=R88,"OK","NOK")</f>
        <v>0</v>
      </c>
      <c r="S139" s="11">
        <f>IF(S114=S88,"OK","NOK")</f>
        <v>0</v>
      </c>
      <c r="T139" s="11">
        <f>IF(T114=T88,"OK","NOK")</f>
        <v>0</v>
      </c>
      <c r="U139" s="11">
        <f>IF(U114=U88,"OK","NOK")</f>
        <v>0</v>
      </c>
      <c r="V139" s="11">
        <f>IF(V114=V88,"OK","NOK")</f>
        <v>0</v>
      </c>
      <c r="W139" s="11">
        <f>IF(W114=W88,"OK","NOK")</f>
        <v>0</v>
      </c>
      <c r="X139" s="11">
        <f>IF(X114=X88,"OK","NOK")</f>
        <v>0</v>
      </c>
      <c r="Y139" s="11">
        <f>IF(Y114=Y88,"OK","NOK")</f>
        <v>0</v>
      </c>
    </row>
    <row r="140" spans="1:25">
      <c r="A140" s="14" t="s">
        <v>62</v>
      </c>
      <c r="B140" s="11">
        <f>IF(B115=B89,"OK","NOK")</f>
        <v>0</v>
      </c>
      <c r="C140" s="11">
        <f>IF(C115=C89,"OK","NOK")</f>
        <v>0</v>
      </c>
      <c r="D140" s="11">
        <f>IF(D115=D89,"OK","NOK")</f>
        <v>0</v>
      </c>
      <c r="E140" s="11">
        <f>IF(E115=E89,"OK","NOK")</f>
        <v>0</v>
      </c>
      <c r="F140" s="11">
        <f>IF(F115=F89,"OK","NOK")</f>
        <v>0</v>
      </c>
      <c r="G140" s="11">
        <f>IF(G115=G89,"OK","NOK")</f>
        <v>0</v>
      </c>
      <c r="H140" s="11">
        <f>IF(H115=H89,"OK","NOK")</f>
        <v>0</v>
      </c>
      <c r="I140" s="11">
        <f>IF(I115=I89,"OK","NOK")</f>
        <v>0</v>
      </c>
      <c r="J140" s="11">
        <f>IF(J115=J89,"OK","NOK")</f>
        <v>0</v>
      </c>
      <c r="K140" s="11">
        <f>IF(K115=K89,"OK","NOK")</f>
        <v>0</v>
      </c>
      <c r="L140" s="11">
        <f>IF(L115=L89,"OK","NOK")</f>
        <v>0</v>
      </c>
      <c r="M140" s="11">
        <f>IF(M115=M89,"OK","NOK")</f>
        <v>0</v>
      </c>
      <c r="N140" s="11">
        <f>IF(N115=N89,"OK","NOK")</f>
        <v>0</v>
      </c>
      <c r="O140" s="11">
        <f>IF(O115=O89,"OK","NOK")</f>
        <v>0</v>
      </c>
      <c r="P140" s="11">
        <f>IF(P115=P89,"OK","NOK")</f>
        <v>0</v>
      </c>
      <c r="Q140" s="11">
        <f>IF(Q115=Q89,"OK","NOK")</f>
        <v>0</v>
      </c>
      <c r="R140" s="11">
        <f>IF(R115=R89,"OK","NOK")</f>
        <v>0</v>
      </c>
      <c r="S140" s="11">
        <f>IF(S115=S89,"OK","NOK")</f>
        <v>0</v>
      </c>
      <c r="T140" s="11">
        <f>IF(T115=T89,"OK","NOK")</f>
        <v>0</v>
      </c>
      <c r="U140" s="11">
        <f>IF(U115=U89,"OK","NOK")</f>
        <v>0</v>
      </c>
      <c r="V140" s="11">
        <f>IF(V115=V89,"OK","NOK")</f>
        <v>0</v>
      </c>
      <c r="W140" s="11">
        <f>IF(W115=W89,"OK","NOK")</f>
        <v>0</v>
      </c>
      <c r="X140" s="11">
        <f>IF(X115=X89,"OK","NOK")</f>
        <v>0</v>
      </c>
      <c r="Y140" s="11">
        <f>IF(Y115=Y89,"OK","NOK")</f>
        <v>0</v>
      </c>
    </row>
    <row r="141" spans="1:25">
      <c r="A141" s="14" t="s">
        <v>63</v>
      </c>
      <c r="B141" s="11">
        <f>IF(B116=B90,"OK","NOK")</f>
        <v>0</v>
      </c>
      <c r="C141" s="11">
        <f>IF(C116=C90,"OK","NOK")</f>
        <v>0</v>
      </c>
      <c r="D141" s="11">
        <f>IF(D116=D90,"OK","NOK")</f>
        <v>0</v>
      </c>
      <c r="E141" s="11">
        <f>IF(E116=E90,"OK","NOK")</f>
        <v>0</v>
      </c>
      <c r="F141" s="11">
        <f>IF(F116=F90,"OK","NOK")</f>
        <v>0</v>
      </c>
      <c r="G141" s="11">
        <f>IF(G116=G90,"OK","NOK")</f>
        <v>0</v>
      </c>
      <c r="H141" s="11">
        <f>IF(H116=H90,"OK","NOK")</f>
        <v>0</v>
      </c>
      <c r="I141" s="11">
        <f>IF(I116=I90,"OK","NOK")</f>
        <v>0</v>
      </c>
      <c r="J141" s="11">
        <f>IF(J116=J90,"OK","NOK")</f>
        <v>0</v>
      </c>
      <c r="K141" s="11">
        <f>IF(K116=K90,"OK","NOK")</f>
        <v>0</v>
      </c>
      <c r="L141" s="11">
        <f>IF(L116=L90,"OK","NOK")</f>
        <v>0</v>
      </c>
      <c r="M141" s="11">
        <f>IF(M116=M90,"OK","NOK")</f>
        <v>0</v>
      </c>
      <c r="N141" s="11">
        <f>IF(N116=N90,"OK","NOK")</f>
        <v>0</v>
      </c>
      <c r="O141" s="11">
        <f>IF(O116=O90,"OK","NOK")</f>
        <v>0</v>
      </c>
      <c r="P141" s="11">
        <f>IF(P116=P90,"OK","NOK")</f>
        <v>0</v>
      </c>
      <c r="Q141" s="11">
        <f>IF(Q116=Q90,"OK","NOK")</f>
        <v>0</v>
      </c>
      <c r="R141" s="11">
        <f>IF(R116=R90,"OK","NOK")</f>
        <v>0</v>
      </c>
      <c r="S141" s="11">
        <f>IF(S116=S90,"OK","NOK")</f>
        <v>0</v>
      </c>
      <c r="T141" s="11">
        <f>IF(T116=T90,"OK","NOK")</f>
        <v>0</v>
      </c>
      <c r="U141" s="11">
        <f>IF(U116=U90,"OK","NOK")</f>
        <v>0</v>
      </c>
      <c r="V141" s="11">
        <f>IF(V116=V90,"OK","NOK")</f>
        <v>0</v>
      </c>
      <c r="W141" s="11">
        <f>IF(W116=W90,"OK","NOK")</f>
        <v>0</v>
      </c>
      <c r="X141" s="11">
        <f>IF(X116=X90,"OK","NOK")</f>
        <v>0</v>
      </c>
      <c r="Y141" s="11">
        <f>IF(Y116=Y90,"OK","NOK")</f>
        <v>0</v>
      </c>
    </row>
    <row r="142" spans="1:25">
      <c r="A142" s="14" t="s">
        <v>64</v>
      </c>
      <c r="B142" s="11">
        <f>IF(B117=B91,"OK","NOK")</f>
        <v>0</v>
      </c>
      <c r="C142" s="11">
        <f>IF(C117=C91,"OK","NOK")</f>
        <v>0</v>
      </c>
      <c r="D142" s="11">
        <f>IF(D117=D91,"OK","NOK")</f>
        <v>0</v>
      </c>
      <c r="E142" s="11">
        <f>IF(E117=E91,"OK","NOK")</f>
        <v>0</v>
      </c>
      <c r="F142" s="11">
        <f>IF(F117=F91,"OK","NOK")</f>
        <v>0</v>
      </c>
      <c r="G142" s="11">
        <f>IF(G117=G91,"OK","NOK")</f>
        <v>0</v>
      </c>
      <c r="H142" s="11">
        <f>IF(H117=H91,"OK","NOK")</f>
        <v>0</v>
      </c>
      <c r="I142" s="11">
        <f>IF(I117=I91,"OK","NOK")</f>
        <v>0</v>
      </c>
      <c r="J142" s="11">
        <f>IF(J117=J91,"OK","NOK")</f>
        <v>0</v>
      </c>
      <c r="K142" s="11">
        <f>IF(K117=K91,"OK","NOK")</f>
        <v>0</v>
      </c>
      <c r="L142" s="11">
        <f>IF(L117=L91,"OK","NOK")</f>
        <v>0</v>
      </c>
      <c r="M142" s="11">
        <f>IF(M117=M91,"OK","NOK")</f>
        <v>0</v>
      </c>
      <c r="N142" s="11">
        <f>IF(N117=N91,"OK","NOK")</f>
        <v>0</v>
      </c>
      <c r="O142" s="11">
        <f>IF(O117=O91,"OK","NOK")</f>
        <v>0</v>
      </c>
      <c r="P142" s="11">
        <f>IF(P117=P91,"OK","NOK")</f>
        <v>0</v>
      </c>
      <c r="Q142" s="11">
        <f>IF(Q117=Q91,"OK","NOK")</f>
        <v>0</v>
      </c>
      <c r="R142" s="11">
        <f>IF(R117=R91,"OK","NOK")</f>
        <v>0</v>
      </c>
      <c r="S142" s="11">
        <f>IF(S117=S91,"OK","NOK")</f>
        <v>0</v>
      </c>
      <c r="T142" s="11">
        <f>IF(T117=T91,"OK","NOK")</f>
        <v>0</v>
      </c>
      <c r="U142" s="11">
        <f>IF(U117=U91,"OK","NOK")</f>
        <v>0</v>
      </c>
      <c r="V142" s="11">
        <f>IF(V117=V91,"OK","NOK")</f>
        <v>0</v>
      </c>
      <c r="W142" s="11">
        <f>IF(W117=W91,"OK","NOK")</f>
        <v>0</v>
      </c>
      <c r="X142" s="11">
        <f>IF(X117=X91,"OK","NOK")</f>
        <v>0</v>
      </c>
      <c r="Y142" s="11">
        <f>IF(Y117=Y91,"OK","NOK")</f>
        <v>0</v>
      </c>
    </row>
    <row r="143" spans="1:25">
      <c r="A143" s="14" t="s">
        <v>65</v>
      </c>
      <c r="B143" s="11">
        <f>IF(B118=B92,"OK","NOK")</f>
        <v>0</v>
      </c>
      <c r="C143" s="11">
        <f>IF(C118=C92,"OK","NOK")</f>
        <v>0</v>
      </c>
      <c r="D143" s="11">
        <f>IF(D118=D92,"OK","NOK")</f>
        <v>0</v>
      </c>
      <c r="E143" s="11">
        <f>IF(E118=E92,"OK","NOK")</f>
        <v>0</v>
      </c>
      <c r="F143" s="11">
        <f>IF(F118=F92,"OK","NOK")</f>
        <v>0</v>
      </c>
      <c r="G143" s="11">
        <f>IF(G118=G92,"OK","NOK")</f>
        <v>0</v>
      </c>
      <c r="H143" s="11">
        <f>IF(H118=H92,"OK","NOK")</f>
        <v>0</v>
      </c>
      <c r="I143" s="11">
        <f>IF(I118=I92,"OK","NOK")</f>
        <v>0</v>
      </c>
      <c r="J143" s="11">
        <f>IF(J118=J92,"OK","NOK")</f>
        <v>0</v>
      </c>
      <c r="K143" s="11">
        <f>IF(K118=K92,"OK","NOK")</f>
        <v>0</v>
      </c>
      <c r="L143" s="11">
        <f>IF(L118=L92,"OK","NOK")</f>
        <v>0</v>
      </c>
      <c r="M143" s="11">
        <f>IF(M118=M92,"OK","NOK")</f>
        <v>0</v>
      </c>
      <c r="N143" s="11">
        <f>IF(N118=N92,"OK","NOK")</f>
        <v>0</v>
      </c>
      <c r="O143" s="11">
        <f>IF(O118=O92,"OK","NOK")</f>
        <v>0</v>
      </c>
      <c r="P143" s="11">
        <f>IF(P118=P92,"OK","NOK")</f>
        <v>0</v>
      </c>
      <c r="Q143" s="11">
        <f>IF(Q118=Q92,"OK","NOK")</f>
        <v>0</v>
      </c>
      <c r="R143" s="11">
        <f>IF(R118=R92,"OK","NOK")</f>
        <v>0</v>
      </c>
      <c r="S143" s="11">
        <f>IF(S118=S92,"OK","NOK")</f>
        <v>0</v>
      </c>
      <c r="T143" s="11">
        <f>IF(T118=T92,"OK","NOK")</f>
        <v>0</v>
      </c>
      <c r="U143" s="11">
        <f>IF(U118=U92,"OK","NOK")</f>
        <v>0</v>
      </c>
      <c r="V143" s="11">
        <f>IF(V118=V92,"OK","NOK")</f>
        <v>0</v>
      </c>
      <c r="W143" s="11">
        <f>IF(W118=W92,"OK","NOK")</f>
        <v>0</v>
      </c>
      <c r="X143" s="11">
        <f>IF(X118=X92,"OK","NOK")</f>
        <v>0</v>
      </c>
      <c r="Y143" s="11">
        <f>IF(Y118=Y92,"OK","NOK")</f>
        <v>0</v>
      </c>
    </row>
    <row r="144" spans="1:25">
      <c r="A144" s="14" t="s">
        <v>66</v>
      </c>
      <c r="B144" s="11">
        <f>IF(B119=B93,"OK","NOK")</f>
        <v>0</v>
      </c>
      <c r="C144" s="11">
        <f>IF(C119=C93,"OK","NOK")</f>
        <v>0</v>
      </c>
      <c r="D144" s="11">
        <f>IF(D119=D93,"OK","NOK")</f>
        <v>0</v>
      </c>
      <c r="E144" s="11">
        <f>IF(E119=E93,"OK","NOK")</f>
        <v>0</v>
      </c>
      <c r="F144" s="11">
        <f>IF(F119=F93,"OK","NOK")</f>
        <v>0</v>
      </c>
      <c r="G144" s="11">
        <f>IF(G119=G93,"OK","NOK")</f>
        <v>0</v>
      </c>
      <c r="H144" s="11">
        <f>IF(H119=H93,"OK","NOK")</f>
        <v>0</v>
      </c>
      <c r="I144" s="11">
        <f>IF(I119=I93,"OK","NOK")</f>
        <v>0</v>
      </c>
      <c r="J144" s="11">
        <f>IF(J119=J93,"OK","NOK")</f>
        <v>0</v>
      </c>
      <c r="K144" s="11">
        <f>IF(K119=K93,"OK","NOK")</f>
        <v>0</v>
      </c>
      <c r="L144" s="11">
        <f>IF(L119=L93,"OK","NOK")</f>
        <v>0</v>
      </c>
      <c r="M144" s="11">
        <f>IF(M119=M93,"OK","NOK")</f>
        <v>0</v>
      </c>
      <c r="N144" s="11">
        <f>IF(N119=N93,"OK","NOK")</f>
        <v>0</v>
      </c>
      <c r="O144" s="11">
        <f>IF(O119=O93,"OK","NOK")</f>
        <v>0</v>
      </c>
      <c r="P144" s="11">
        <f>IF(P119=P93,"OK","NOK")</f>
        <v>0</v>
      </c>
      <c r="Q144" s="11">
        <f>IF(Q119=Q93,"OK","NOK")</f>
        <v>0</v>
      </c>
      <c r="R144" s="11">
        <f>IF(R119=R93,"OK","NOK")</f>
        <v>0</v>
      </c>
      <c r="S144" s="11">
        <f>IF(S119=S93,"OK","NOK")</f>
        <v>0</v>
      </c>
      <c r="T144" s="11">
        <f>IF(T119=T93,"OK","NOK")</f>
        <v>0</v>
      </c>
      <c r="U144" s="11">
        <f>IF(U119=U93,"OK","NOK")</f>
        <v>0</v>
      </c>
      <c r="V144" s="11">
        <f>IF(V119=V93,"OK","NOK")</f>
        <v>0</v>
      </c>
      <c r="W144" s="11">
        <f>IF(W119=W93,"OK","NOK")</f>
        <v>0</v>
      </c>
      <c r="X144" s="11">
        <f>IF(X119=X93,"OK","NOK")</f>
        <v>0</v>
      </c>
      <c r="Y144" s="11">
        <f>IF(Y119=Y93,"OK","NOK")</f>
        <v>0</v>
      </c>
    </row>
    <row r="145" spans="1:25">
      <c r="A145" s="14" t="s">
        <v>67</v>
      </c>
      <c r="B145" s="11">
        <f>IF(B120=B94,"OK","NOK")</f>
        <v>0</v>
      </c>
      <c r="C145" s="11">
        <f>IF(C120=C94,"OK","NOK")</f>
        <v>0</v>
      </c>
      <c r="D145" s="11">
        <f>IF(D120=D94,"OK","NOK")</f>
        <v>0</v>
      </c>
      <c r="E145" s="11">
        <f>IF(E120=E94,"OK","NOK")</f>
        <v>0</v>
      </c>
      <c r="F145" s="11">
        <f>IF(F120=F94,"OK","NOK")</f>
        <v>0</v>
      </c>
      <c r="G145" s="11">
        <f>IF(G120=G94,"OK","NOK")</f>
        <v>0</v>
      </c>
      <c r="H145" s="11">
        <f>IF(H120=H94,"OK","NOK")</f>
        <v>0</v>
      </c>
      <c r="I145" s="11">
        <f>IF(I120=I94,"OK","NOK")</f>
        <v>0</v>
      </c>
      <c r="J145" s="11">
        <f>IF(J120=J94,"OK","NOK")</f>
        <v>0</v>
      </c>
      <c r="K145" s="11">
        <f>IF(K120=K94,"OK","NOK")</f>
        <v>0</v>
      </c>
      <c r="L145" s="11">
        <f>IF(L120=L94,"OK","NOK")</f>
        <v>0</v>
      </c>
      <c r="M145" s="11">
        <f>IF(M120=M94,"OK","NOK")</f>
        <v>0</v>
      </c>
      <c r="N145" s="11">
        <f>IF(N120=N94,"OK","NOK")</f>
        <v>0</v>
      </c>
      <c r="O145" s="11">
        <f>IF(O120=O94,"OK","NOK")</f>
        <v>0</v>
      </c>
      <c r="P145" s="11">
        <f>IF(P120=P94,"OK","NOK")</f>
        <v>0</v>
      </c>
      <c r="Q145" s="11">
        <f>IF(Q120=Q94,"OK","NOK")</f>
        <v>0</v>
      </c>
      <c r="R145" s="11">
        <f>IF(R120=R94,"OK","NOK")</f>
        <v>0</v>
      </c>
      <c r="S145" s="11">
        <f>IF(S120=S94,"OK","NOK")</f>
        <v>0</v>
      </c>
      <c r="T145" s="11">
        <f>IF(T120=T94,"OK","NOK")</f>
        <v>0</v>
      </c>
      <c r="U145" s="11">
        <f>IF(U120=U94,"OK","NOK")</f>
        <v>0</v>
      </c>
      <c r="V145" s="11">
        <f>IF(V120=V94,"OK","NOK")</f>
        <v>0</v>
      </c>
      <c r="W145" s="11">
        <f>IF(W120=W94,"OK","NOK")</f>
        <v>0</v>
      </c>
      <c r="X145" s="11">
        <f>IF(X120=X94,"OK","NOK")</f>
        <v>0</v>
      </c>
      <c r="Y145" s="11">
        <f>IF(Y120=Y94,"OK","NOK")</f>
        <v>0</v>
      </c>
    </row>
    <row r="146" spans="1:25">
      <c r="A146" s="14" t="s">
        <v>68</v>
      </c>
      <c r="B146" s="11">
        <f>IF(B121=B95,"OK","NOK")</f>
        <v>0</v>
      </c>
      <c r="C146" s="11">
        <f>IF(C121=C95,"OK","NOK")</f>
        <v>0</v>
      </c>
      <c r="D146" s="11">
        <f>IF(D121=D95,"OK","NOK")</f>
        <v>0</v>
      </c>
      <c r="E146" s="11">
        <f>IF(E121=E95,"OK","NOK")</f>
        <v>0</v>
      </c>
      <c r="F146" s="11">
        <f>IF(F121=F95,"OK","NOK")</f>
        <v>0</v>
      </c>
      <c r="G146" s="11">
        <f>IF(G121=G95,"OK","NOK")</f>
        <v>0</v>
      </c>
      <c r="H146" s="11">
        <f>IF(H121=H95,"OK","NOK")</f>
        <v>0</v>
      </c>
      <c r="I146" s="11">
        <f>IF(I121=I95,"OK","NOK")</f>
        <v>0</v>
      </c>
      <c r="J146" s="11">
        <f>IF(J121=J95,"OK","NOK")</f>
        <v>0</v>
      </c>
      <c r="K146" s="11">
        <f>IF(K121=K95,"OK","NOK")</f>
        <v>0</v>
      </c>
      <c r="L146" s="11">
        <f>IF(L121=L95,"OK","NOK")</f>
        <v>0</v>
      </c>
      <c r="M146" s="11">
        <f>IF(M121=M95,"OK","NOK")</f>
        <v>0</v>
      </c>
      <c r="N146" s="11">
        <f>IF(N121=N95,"OK","NOK")</f>
        <v>0</v>
      </c>
      <c r="O146" s="11">
        <f>IF(O121=O95,"OK","NOK")</f>
        <v>0</v>
      </c>
      <c r="P146" s="11">
        <f>IF(P121=P95,"OK","NOK")</f>
        <v>0</v>
      </c>
      <c r="Q146" s="11">
        <f>IF(Q121=Q95,"OK","NOK")</f>
        <v>0</v>
      </c>
      <c r="R146" s="11">
        <f>IF(R121=R95,"OK","NOK")</f>
        <v>0</v>
      </c>
      <c r="S146" s="11">
        <f>IF(S121=S95,"OK","NOK")</f>
        <v>0</v>
      </c>
      <c r="T146" s="11">
        <f>IF(T121=T95,"OK","NOK")</f>
        <v>0</v>
      </c>
      <c r="U146" s="11">
        <f>IF(U121=U95,"OK","NOK")</f>
        <v>0</v>
      </c>
      <c r="V146" s="11">
        <f>IF(V121=V95,"OK","NOK")</f>
        <v>0</v>
      </c>
      <c r="W146" s="11">
        <f>IF(W121=W95,"OK","NOK")</f>
        <v>0</v>
      </c>
      <c r="X146" s="11">
        <f>IF(X121=X95,"OK","NOK")</f>
        <v>0</v>
      </c>
      <c r="Y146" s="11">
        <f>IF(Y121=Y95,"OK","NOK")</f>
        <v>0</v>
      </c>
    </row>
    <row r="147" spans="1:25">
      <c r="A147" s="14" t="s">
        <v>69</v>
      </c>
      <c r="B147" s="11">
        <f>IF(B122=B96,"OK","NOK")</f>
        <v>0</v>
      </c>
      <c r="C147" s="11">
        <f>IF(C122=C96,"OK","NOK")</f>
        <v>0</v>
      </c>
      <c r="D147" s="11">
        <f>IF(D122=D96,"OK","NOK")</f>
        <v>0</v>
      </c>
      <c r="E147" s="11">
        <f>IF(E122=E96,"OK","NOK")</f>
        <v>0</v>
      </c>
      <c r="F147" s="11">
        <f>IF(F122=F96,"OK","NOK")</f>
        <v>0</v>
      </c>
      <c r="G147" s="11">
        <f>IF(G122=G96,"OK","NOK")</f>
        <v>0</v>
      </c>
      <c r="H147" s="11">
        <f>IF(H122=H96,"OK","NOK")</f>
        <v>0</v>
      </c>
      <c r="I147" s="11">
        <f>IF(I122=I96,"OK","NOK")</f>
        <v>0</v>
      </c>
      <c r="J147" s="11">
        <f>IF(J122=J96,"OK","NOK")</f>
        <v>0</v>
      </c>
      <c r="K147" s="11">
        <f>IF(K122=K96,"OK","NOK")</f>
        <v>0</v>
      </c>
      <c r="L147" s="11">
        <f>IF(L122=L96,"OK","NOK")</f>
        <v>0</v>
      </c>
      <c r="M147" s="11">
        <f>IF(M122=M96,"OK","NOK")</f>
        <v>0</v>
      </c>
      <c r="N147" s="11">
        <f>IF(N122=N96,"OK","NOK")</f>
        <v>0</v>
      </c>
      <c r="O147" s="11">
        <f>IF(O122=O96,"OK","NOK")</f>
        <v>0</v>
      </c>
      <c r="P147" s="11">
        <f>IF(P122=P96,"OK","NOK")</f>
        <v>0</v>
      </c>
      <c r="Q147" s="11">
        <f>IF(Q122=Q96,"OK","NOK")</f>
        <v>0</v>
      </c>
      <c r="R147" s="11">
        <f>IF(R122=R96,"OK","NOK")</f>
        <v>0</v>
      </c>
      <c r="S147" s="11">
        <f>IF(S122=S96,"OK","NOK")</f>
        <v>0</v>
      </c>
      <c r="T147" s="11">
        <f>IF(T122=T96,"OK","NOK")</f>
        <v>0</v>
      </c>
      <c r="U147" s="11">
        <f>IF(U122=U96,"OK","NOK")</f>
        <v>0</v>
      </c>
      <c r="V147" s="11">
        <f>IF(V122=V96,"OK","NOK")</f>
        <v>0</v>
      </c>
      <c r="W147" s="11">
        <f>IF(W122=W96,"OK","NOK")</f>
        <v>0</v>
      </c>
      <c r="X147" s="11">
        <f>IF(X122=X96,"OK","NOK")</f>
        <v>0</v>
      </c>
      <c r="Y147" s="11">
        <f>IF(Y122=Y96,"OK","NOK")</f>
        <v>0</v>
      </c>
    </row>
    <row r="148" spans="1:25">
      <c r="A148" s="14" t="s">
        <v>70</v>
      </c>
      <c r="B148" s="11">
        <f>IF(B123=B97,"OK","NOK")</f>
        <v>0</v>
      </c>
      <c r="C148" s="11">
        <f>IF(C123=C97,"OK","NOK")</f>
        <v>0</v>
      </c>
      <c r="D148" s="11">
        <f>IF(D123=D97,"OK","NOK")</f>
        <v>0</v>
      </c>
      <c r="E148" s="11">
        <f>IF(E123=E97,"OK","NOK")</f>
        <v>0</v>
      </c>
      <c r="F148" s="11">
        <f>IF(F123=F97,"OK","NOK")</f>
        <v>0</v>
      </c>
      <c r="G148" s="11">
        <f>IF(G123=G97,"OK","NOK")</f>
        <v>0</v>
      </c>
      <c r="H148" s="11">
        <f>IF(H123=H97,"OK","NOK")</f>
        <v>0</v>
      </c>
      <c r="I148" s="11">
        <f>IF(I123=I97,"OK","NOK")</f>
        <v>0</v>
      </c>
      <c r="J148" s="11">
        <f>IF(J123=J97,"OK","NOK")</f>
        <v>0</v>
      </c>
      <c r="K148" s="11">
        <f>IF(K123=K97,"OK","NOK")</f>
        <v>0</v>
      </c>
      <c r="L148" s="11">
        <f>IF(L123=L97,"OK","NOK")</f>
        <v>0</v>
      </c>
      <c r="M148" s="11">
        <f>IF(M123=M97,"OK","NOK")</f>
        <v>0</v>
      </c>
      <c r="N148" s="11">
        <f>IF(N123=N97,"OK","NOK")</f>
        <v>0</v>
      </c>
      <c r="O148" s="11">
        <f>IF(O123=O97,"OK","NOK")</f>
        <v>0</v>
      </c>
      <c r="P148" s="11">
        <f>IF(P123=P97,"OK","NOK")</f>
        <v>0</v>
      </c>
      <c r="Q148" s="11">
        <f>IF(Q123=Q97,"OK","NOK")</f>
        <v>0</v>
      </c>
      <c r="R148" s="11">
        <f>IF(R123=R97,"OK","NOK")</f>
        <v>0</v>
      </c>
      <c r="S148" s="11">
        <f>IF(S123=S97,"OK","NOK")</f>
        <v>0</v>
      </c>
      <c r="T148" s="11">
        <f>IF(T123=T97,"OK","NOK")</f>
        <v>0</v>
      </c>
      <c r="U148" s="11">
        <f>IF(U123=U97,"OK","NOK")</f>
        <v>0</v>
      </c>
      <c r="V148" s="11">
        <f>IF(V123=V97,"OK","NOK")</f>
        <v>0</v>
      </c>
      <c r="W148" s="11">
        <f>IF(W123=W97,"OK","NOK")</f>
        <v>0</v>
      </c>
      <c r="X148" s="11">
        <f>IF(X123=X97,"OK","NOK")</f>
        <v>0</v>
      </c>
      <c r="Y148" s="11">
        <f>IF(Y123=Y97,"OK","NOK")</f>
        <v>0</v>
      </c>
    </row>
    <row r="149" spans="1:25">
      <c r="A149" s="14" t="s">
        <v>71</v>
      </c>
      <c r="B149" s="11">
        <f>IF(B124=B98,"OK","NOK")</f>
        <v>0</v>
      </c>
      <c r="C149" s="11">
        <f>IF(C124=C98,"OK","NOK")</f>
        <v>0</v>
      </c>
      <c r="D149" s="11">
        <f>IF(D124=D98,"OK","NOK")</f>
        <v>0</v>
      </c>
      <c r="E149" s="11">
        <f>IF(E124=E98,"OK","NOK")</f>
        <v>0</v>
      </c>
      <c r="F149" s="11">
        <f>IF(F124=F98,"OK","NOK")</f>
        <v>0</v>
      </c>
      <c r="G149" s="11">
        <f>IF(G124=G98,"OK","NOK")</f>
        <v>0</v>
      </c>
      <c r="H149" s="11">
        <f>IF(H124=H98,"OK","NOK")</f>
        <v>0</v>
      </c>
      <c r="I149" s="11">
        <f>IF(I124=I98,"OK","NOK")</f>
        <v>0</v>
      </c>
      <c r="J149" s="11">
        <f>IF(J124=J98,"OK","NOK")</f>
        <v>0</v>
      </c>
      <c r="K149" s="11">
        <f>IF(K124=K98,"OK","NOK")</f>
        <v>0</v>
      </c>
      <c r="L149" s="11">
        <f>IF(L124=L98,"OK","NOK")</f>
        <v>0</v>
      </c>
      <c r="M149" s="11">
        <f>IF(M124=M98,"OK","NOK")</f>
        <v>0</v>
      </c>
      <c r="N149" s="11">
        <f>IF(N124=N98,"OK","NOK")</f>
        <v>0</v>
      </c>
      <c r="O149" s="11">
        <f>IF(O124=O98,"OK","NOK")</f>
        <v>0</v>
      </c>
      <c r="P149" s="11">
        <f>IF(P124=P98,"OK","NOK")</f>
        <v>0</v>
      </c>
      <c r="Q149" s="11">
        <f>IF(Q124=Q98,"OK","NOK")</f>
        <v>0</v>
      </c>
      <c r="R149" s="11">
        <f>IF(R124=R98,"OK","NOK")</f>
        <v>0</v>
      </c>
      <c r="S149" s="11">
        <f>IF(S124=S98,"OK","NOK")</f>
        <v>0</v>
      </c>
      <c r="T149" s="11">
        <f>IF(T124=T98,"OK","NOK")</f>
        <v>0</v>
      </c>
      <c r="U149" s="11">
        <f>IF(U124=U98,"OK","NOK")</f>
        <v>0</v>
      </c>
      <c r="V149" s="11">
        <f>IF(V124=V98,"OK","NOK")</f>
        <v>0</v>
      </c>
      <c r="W149" s="11">
        <f>IF(W124=W98,"OK","NOK")</f>
        <v>0</v>
      </c>
      <c r="X149" s="11">
        <f>IF(X124=X98,"OK","NOK")</f>
        <v>0</v>
      </c>
      <c r="Y149" s="11">
        <f>IF(Y124=Y98,"OK","NOK")</f>
        <v>0</v>
      </c>
    </row>
    <row r="150" spans="1:25">
      <c r="A150" s="14" t="s">
        <v>72</v>
      </c>
      <c r="B150" s="11">
        <f>IF(B125=B99,"OK","NOK")</f>
        <v>0</v>
      </c>
      <c r="C150" s="11">
        <f>IF(C125=C99,"OK","NOK")</f>
        <v>0</v>
      </c>
      <c r="D150" s="11">
        <f>IF(D125=D99,"OK","NOK")</f>
        <v>0</v>
      </c>
      <c r="E150" s="11">
        <f>IF(E125=E99,"OK","NOK")</f>
        <v>0</v>
      </c>
      <c r="F150" s="11">
        <f>IF(F125=F99,"OK","NOK")</f>
        <v>0</v>
      </c>
      <c r="G150" s="11">
        <f>IF(G125=G99,"OK","NOK")</f>
        <v>0</v>
      </c>
      <c r="H150" s="11">
        <f>IF(H125=H99,"OK","NOK")</f>
        <v>0</v>
      </c>
      <c r="I150" s="11">
        <f>IF(I125=I99,"OK","NOK")</f>
        <v>0</v>
      </c>
      <c r="J150" s="11">
        <f>IF(J125=J99,"OK","NOK")</f>
        <v>0</v>
      </c>
      <c r="K150" s="11">
        <f>IF(K125=K99,"OK","NOK")</f>
        <v>0</v>
      </c>
      <c r="L150" s="11">
        <f>IF(L125=L99,"OK","NOK")</f>
        <v>0</v>
      </c>
      <c r="M150" s="11">
        <f>IF(M125=M99,"OK","NOK")</f>
        <v>0</v>
      </c>
      <c r="N150" s="11">
        <f>IF(N125=N99,"OK","NOK")</f>
        <v>0</v>
      </c>
      <c r="O150" s="11">
        <f>IF(O125=O99,"OK","NOK")</f>
        <v>0</v>
      </c>
      <c r="P150" s="11">
        <f>IF(P125=P99,"OK","NOK")</f>
        <v>0</v>
      </c>
      <c r="Q150" s="11">
        <f>IF(Q125=Q99,"OK","NOK")</f>
        <v>0</v>
      </c>
      <c r="R150" s="11">
        <f>IF(R125=R99,"OK","NOK")</f>
        <v>0</v>
      </c>
      <c r="S150" s="11">
        <f>IF(S125=S99,"OK","NOK")</f>
        <v>0</v>
      </c>
      <c r="T150" s="11">
        <f>IF(T125=T99,"OK","NOK")</f>
        <v>0</v>
      </c>
      <c r="U150" s="11">
        <f>IF(U125=U99,"OK","NOK")</f>
        <v>0</v>
      </c>
      <c r="V150" s="11">
        <f>IF(V125=V99,"OK","NOK")</f>
        <v>0</v>
      </c>
      <c r="W150" s="11">
        <f>IF(W125=W99,"OK","NOK")</f>
        <v>0</v>
      </c>
      <c r="X150" s="11">
        <f>IF(X125=X99,"OK","NOK")</f>
        <v>0</v>
      </c>
      <c r="Y150" s="11">
        <f>IF(Y125=Y99,"OK","NOK")</f>
        <v>0</v>
      </c>
    </row>
    <row r="151" spans="1:25">
      <c r="A151" s="14" t="s">
        <v>73</v>
      </c>
      <c r="B151" s="11">
        <f>IF(B126=B100,"OK","NOK")</f>
        <v>0</v>
      </c>
      <c r="C151" s="11">
        <f>IF(C126=C100,"OK","NOK")</f>
        <v>0</v>
      </c>
      <c r="D151" s="11">
        <f>IF(D126=D100,"OK","NOK")</f>
        <v>0</v>
      </c>
      <c r="E151" s="11">
        <f>IF(E126=E100,"OK","NOK")</f>
        <v>0</v>
      </c>
      <c r="F151" s="11">
        <f>IF(F126=F100,"OK","NOK")</f>
        <v>0</v>
      </c>
      <c r="G151" s="11">
        <f>IF(G126=G100,"OK","NOK")</f>
        <v>0</v>
      </c>
      <c r="H151" s="11">
        <f>IF(H126=H100,"OK","NOK")</f>
        <v>0</v>
      </c>
      <c r="I151" s="11">
        <f>IF(I126=I100,"OK","NOK")</f>
        <v>0</v>
      </c>
      <c r="J151" s="11">
        <f>IF(J126=J100,"OK","NOK")</f>
        <v>0</v>
      </c>
      <c r="K151" s="11">
        <f>IF(K126=K100,"OK","NOK")</f>
        <v>0</v>
      </c>
      <c r="L151" s="11">
        <f>IF(L126=L100,"OK","NOK")</f>
        <v>0</v>
      </c>
      <c r="M151" s="11">
        <f>IF(M126=M100,"OK","NOK")</f>
        <v>0</v>
      </c>
      <c r="N151" s="11">
        <f>IF(N126=N100,"OK","NOK")</f>
        <v>0</v>
      </c>
      <c r="O151" s="11">
        <f>IF(O126=O100,"OK","NOK")</f>
        <v>0</v>
      </c>
      <c r="P151" s="11">
        <f>IF(P126=P100,"OK","NOK")</f>
        <v>0</v>
      </c>
      <c r="Q151" s="11">
        <f>IF(Q126=Q100,"OK","NOK")</f>
        <v>0</v>
      </c>
      <c r="R151" s="11">
        <f>IF(R126=R100,"OK","NOK")</f>
        <v>0</v>
      </c>
      <c r="S151" s="11">
        <f>IF(S126=S100,"OK","NOK")</f>
        <v>0</v>
      </c>
      <c r="T151" s="11">
        <f>IF(T126=T100,"OK","NOK")</f>
        <v>0</v>
      </c>
      <c r="U151" s="11">
        <f>IF(U126=U100,"OK","NOK")</f>
        <v>0</v>
      </c>
      <c r="V151" s="11">
        <f>IF(V126=V100,"OK","NOK")</f>
        <v>0</v>
      </c>
      <c r="W151" s="11">
        <f>IF(W126=W100,"OK","NOK")</f>
        <v>0</v>
      </c>
      <c r="X151" s="11">
        <f>IF(X126=X100,"OK","NOK")</f>
        <v>0</v>
      </c>
      <c r="Y151" s="11">
        <f>IF(Y126=Y100,"OK","NOK")</f>
        <v>0</v>
      </c>
    </row>
    <row r="152" spans="1:25">
      <c r="A152" s="14" t="s">
        <v>74</v>
      </c>
      <c r="B152" s="11">
        <f>IF(B127=B101,"OK","NOK")</f>
        <v>0</v>
      </c>
      <c r="C152" s="11">
        <f>IF(C127=C101,"OK","NOK")</f>
        <v>0</v>
      </c>
      <c r="D152" s="11">
        <f>IF(D127=D101,"OK","NOK")</f>
        <v>0</v>
      </c>
      <c r="E152" s="11">
        <f>IF(E127=E101,"OK","NOK")</f>
        <v>0</v>
      </c>
      <c r="F152" s="11">
        <f>IF(F127=F101,"OK","NOK")</f>
        <v>0</v>
      </c>
      <c r="G152" s="11">
        <f>IF(G127=G101,"OK","NOK")</f>
        <v>0</v>
      </c>
      <c r="H152" s="11">
        <f>IF(H127=H101,"OK","NOK")</f>
        <v>0</v>
      </c>
      <c r="I152" s="11">
        <f>IF(I127=I101,"OK","NOK")</f>
        <v>0</v>
      </c>
      <c r="J152" s="11">
        <f>IF(J127=J101,"OK","NOK")</f>
        <v>0</v>
      </c>
      <c r="K152" s="11">
        <f>IF(K127=K101,"OK","NOK")</f>
        <v>0</v>
      </c>
      <c r="L152" s="11">
        <f>IF(L127=L101,"OK","NOK")</f>
        <v>0</v>
      </c>
      <c r="M152" s="11">
        <f>IF(M127=M101,"OK","NOK")</f>
        <v>0</v>
      </c>
      <c r="N152" s="11">
        <f>IF(N127=N101,"OK","NOK")</f>
        <v>0</v>
      </c>
      <c r="O152" s="11">
        <f>IF(O127=O101,"OK","NOK")</f>
        <v>0</v>
      </c>
      <c r="P152" s="11">
        <f>IF(P127=P101,"OK","NOK")</f>
        <v>0</v>
      </c>
      <c r="Q152" s="11">
        <f>IF(Q127=Q101,"OK","NOK")</f>
        <v>0</v>
      </c>
      <c r="R152" s="11">
        <f>IF(R127=R101,"OK","NOK")</f>
        <v>0</v>
      </c>
      <c r="S152" s="11">
        <f>IF(S127=S101,"OK","NOK")</f>
        <v>0</v>
      </c>
      <c r="T152" s="11">
        <f>IF(T127=T101,"OK","NOK")</f>
        <v>0</v>
      </c>
      <c r="U152" s="11">
        <f>IF(U127=U101,"OK","NOK")</f>
        <v>0</v>
      </c>
      <c r="V152" s="11">
        <f>IF(V127=V101,"OK","NOK")</f>
        <v>0</v>
      </c>
      <c r="W152" s="11">
        <f>IF(W127=W101,"OK","NOK")</f>
        <v>0</v>
      </c>
      <c r="X152" s="11">
        <f>IF(X127=X101,"OK","NOK")</f>
        <v>0</v>
      </c>
      <c r="Y152" s="11">
        <f>IF(Y127=Y101,"OK","NOK")</f>
        <v>0</v>
      </c>
    </row>
    <row r="153" spans="1:25">
      <c r="A153" s="14" t="s">
        <v>75</v>
      </c>
      <c r="B153" s="11">
        <f>IF(B128=B102,"OK","NOK")</f>
        <v>0</v>
      </c>
      <c r="C153" s="11">
        <f>IF(C128=C102,"OK","NOK")</f>
        <v>0</v>
      </c>
      <c r="D153" s="11">
        <f>IF(D128=D102,"OK","NOK")</f>
        <v>0</v>
      </c>
      <c r="E153" s="11">
        <f>IF(E128=E102,"OK","NOK")</f>
        <v>0</v>
      </c>
      <c r="F153" s="11">
        <f>IF(F128=F102,"OK","NOK")</f>
        <v>0</v>
      </c>
      <c r="G153" s="11">
        <f>IF(G128=G102,"OK","NOK")</f>
        <v>0</v>
      </c>
      <c r="H153" s="11">
        <f>IF(H128=H102,"OK","NOK")</f>
        <v>0</v>
      </c>
      <c r="I153" s="11">
        <f>IF(I128=I102,"OK","NOK")</f>
        <v>0</v>
      </c>
      <c r="J153" s="11">
        <f>IF(J128=J102,"OK","NOK")</f>
        <v>0</v>
      </c>
      <c r="K153" s="11">
        <f>IF(K128=K102,"OK","NOK")</f>
        <v>0</v>
      </c>
      <c r="L153" s="11">
        <f>IF(L128=L102,"OK","NOK")</f>
        <v>0</v>
      </c>
      <c r="M153" s="11">
        <f>IF(M128=M102,"OK","NOK")</f>
        <v>0</v>
      </c>
      <c r="N153" s="11">
        <f>IF(N128=N102,"OK","NOK")</f>
        <v>0</v>
      </c>
      <c r="O153" s="11">
        <f>IF(O128=O102,"OK","NOK")</f>
        <v>0</v>
      </c>
      <c r="P153" s="11">
        <f>IF(P128=P102,"OK","NOK")</f>
        <v>0</v>
      </c>
      <c r="Q153" s="11">
        <f>IF(Q128=Q102,"OK","NOK")</f>
        <v>0</v>
      </c>
      <c r="R153" s="11">
        <f>IF(R128=R102,"OK","NOK")</f>
        <v>0</v>
      </c>
      <c r="S153" s="11">
        <f>IF(S128=S102,"OK","NOK")</f>
        <v>0</v>
      </c>
      <c r="T153" s="11">
        <f>IF(T128=T102,"OK","NOK")</f>
        <v>0</v>
      </c>
      <c r="U153" s="11">
        <f>IF(U128=U102,"OK","NOK")</f>
        <v>0</v>
      </c>
      <c r="V153" s="11">
        <f>IF(V128=V102,"OK","NOK")</f>
        <v>0</v>
      </c>
      <c r="W153" s="11">
        <f>IF(W128=W102,"OK","NOK")</f>
        <v>0</v>
      </c>
      <c r="X153" s="11">
        <f>IF(X128=X102,"OK","NOK")</f>
        <v>0</v>
      </c>
      <c r="Y153" s="11">
        <f>IF(Y128=Y102,"OK","NOK")</f>
        <v>0</v>
      </c>
    </row>
    <row r="154" spans="1:25">
      <c r="A154" s="14" t="s">
        <v>76</v>
      </c>
      <c r="B154" s="11">
        <f>IF(B129=B103,"OK","NOK")</f>
        <v>0</v>
      </c>
      <c r="C154" s="11">
        <f>IF(C129=C103,"OK","NOK")</f>
        <v>0</v>
      </c>
      <c r="D154" s="11">
        <f>IF(D129=D103,"OK","NOK")</f>
        <v>0</v>
      </c>
      <c r="E154" s="11">
        <f>IF(E129=E103,"OK","NOK")</f>
        <v>0</v>
      </c>
      <c r="F154" s="11">
        <f>IF(F129=F103,"OK","NOK")</f>
        <v>0</v>
      </c>
      <c r="G154" s="11">
        <f>IF(G129=G103,"OK","NOK")</f>
        <v>0</v>
      </c>
      <c r="H154" s="11">
        <f>IF(H129=H103,"OK","NOK")</f>
        <v>0</v>
      </c>
      <c r="I154" s="11">
        <f>IF(I129=I103,"OK","NOK")</f>
        <v>0</v>
      </c>
      <c r="J154" s="11">
        <f>IF(J129=J103,"OK","NOK")</f>
        <v>0</v>
      </c>
      <c r="K154" s="11">
        <f>IF(K129=K103,"OK","NOK")</f>
        <v>0</v>
      </c>
      <c r="L154" s="11">
        <f>IF(L129=L103,"OK","NOK")</f>
        <v>0</v>
      </c>
      <c r="M154" s="11">
        <f>IF(M129=M103,"OK","NOK")</f>
        <v>0</v>
      </c>
      <c r="N154" s="11">
        <f>IF(N129=N103,"OK","NOK")</f>
        <v>0</v>
      </c>
      <c r="O154" s="11">
        <f>IF(O129=O103,"OK","NOK")</f>
        <v>0</v>
      </c>
      <c r="P154" s="11">
        <f>IF(P129=P103,"OK","NOK")</f>
        <v>0</v>
      </c>
      <c r="Q154" s="11">
        <f>IF(Q129=Q103,"OK","NOK")</f>
        <v>0</v>
      </c>
      <c r="R154" s="11">
        <f>IF(R129=R103,"OK","NOK")</f>
        <v>0</v>
      </c>
      <c r="S154" s="11">
        <f>IF(S129=S103,"OK","NOK")</f>
        <v>0</v>
      </c>
      <c r="T154" s="11">
        <f>IF(T129=T103,"OK","NOK")</f>
        <v>0</v>
      </c>
      <c r="U154" s="11">
        <f>IF(U129=U103,"OK","NOK")</f>
        <v>0</v>
      </c>
      <c r="V154" s="11">
        <f>IF(V129=V103,"OK","NOK")</f>
        <v>0</v>
      </c>
      <c r="W154" s="11">
        <f>IF(W129=W103,"OK","NOK")</f>
        <v>0</v>
      </c>
      <c r="X154" s="11">
        <f>IF(X129=X103,"OK","NOK")</f>
        <v>0</v>
      </c>
      <c r="Y154" s="11">
        <f>IF(Y129=Y103,"OK","NOK")</f>
        <v>0</v>
      </c>
    </row>
    <row r="155" spans="1:25">
      <c r="A155" s="14" t="s">
        <v>77</v>
      </c>
      <c r="B155" s="11">
        <f>IF(B130=B104,"OK","NOK")</f>
        <v>0</v>
      </c>
      <c r="C155" s="11">
        <f>IF(C130=C104,"OK","NOK")</f>
        <v>0</v>
      </c>
      <c r="D155" s="11">
        <f>IF(D130=D104,"OK","NOK")</f>
        <v>0</v>
      </c>
      <c r="E155" s="11">
        <f>IF(E130=E104,"OK","NOK")</f>
        <v>0</v>
      </c>
      <c r="F155" s="11">
        <f>IF(F130=F104,"OK","NOK")</f>
        <v>0</v>
      </c>
      <c r="G155" s="11">
        <f>IF(G130=G104,"OK","NOK")</f>
        <v>0</v>
      </c>
      <c r="H155" s="11">
        <f>IF(H130=H104,"OK","NOK")</f>
        <v>0</v>
      </c>
      <c r="I155" s="11">
        <f>IF(I130=I104,"OK","NOK")</f>
        <v>0</v>
      </c>
      <c r="J155" s="11">
        <f>IF(J130=J104,"OK","NOK")</f>
        <v>0</v>
      </c>
      <c r="K155" s="11">
        <f>IF(K130=K104,"OK","NOK")</f>
        <v>0</v>
      </c>
      <c r="L155" s="11">
        <f>IF(L130=L104,"OK","NOK")</f>
        <v>0</v>
      </c>
      <c r="M155" s="11">
        <f>IF(M130=M104,"OK","NOK")</f>
        <v>0</v>
      </c>
      <c r="N155" s="11">
        <f>IF(N130=N104,"OK","NOK")</f>
        <v>0</v>
      </c>
      <c r="O155" s="11">
        <f>IF(O130=O104,"OK","NOK")</f>
        <v>0</v>
      </c>
      <c r="P155" s="11">
        <f>IF(P130=P104,"OK","NOK")</f>
        <v>0</v>
      </c>
      <c r="Q155" s="11">
        <f>IF(Q130=Q104,"OK","NOK")</f>
        <v>0</v>
      </c>
      <c r="R155" s="11">
        <f>IF(R130=R104,"OK","NOK")</f>
        <v>0</v>
      </c>
      <c r="S155" s="11">
        <f>IF(S130=S104,"OK","NOK")</f>
        <v>0</v>
      </c>
      <c r="T155" s="11">
        <f>IF(T130=T104,"OK","NOK")</f>
        <v>0</v>
      </c>
      <c r="U155" s="11">
        <f>IF(U130=U104,"OK","NOK")</f>
        <v>0</v>
      </c>
      <c r="V155" s="11">
        <f>IF(V130=V104,"OK","NOK")</f>
        <v>0</v>
      </c>
      <c r="W155" s="11">
        <f>IF(W130=W104,"OK","NOK")</f>
        <v>0</v>
      </c>
      <c r="X155" s="11">
        <f>IF(X130=X104,"OK","NOK")</f>
        <v>0</v>
      </c>
      <c r="Y155" s="11">
        <f>IF(Y130=Y104,"OK","NOK")</f>
        <v>0</v>
      </c>
    </row>
    <row r="156" spans="1:25">
      <c r="A156" s="14" t="s">
        <v>78</v>
      </c>
      <c r="B156" s="11">
        <f>IF(B131=B105,"OK","NOK")</f>
        <v>0</v>
      </c>
      <c r="C156" s="11">
        <f>IF(C131=C105,"OK","NOK")</f>
        <v>0</v>
      </c>
      <c r="D156" s="11">
        <f>IF(D131=D105,"OK","NOK")</f>
        <v>0</v>
      </c>
      <c r="E156" s="11">
        <f>IF(E131=E105,"OK","NOK")</f>
        <v>0</v>
      </c>
      <c r="F156" s="11">
        <f>IF(F131=F105,"OK","NOK")</f>
        <v>0</v>
      </c>
      <c r="G156" s="11">
        <f>IF(G131=G105,"OK","NOK")</f>
        <v>0</v>
      </c>
      <c r="H156" s="11">
        <f>IF(H131=H105,"OK","NOK")</f>
        <v>0</v>
      </c>
      <c r="I156" s="11">
        <f>IF(I131=I105,"OK","NOK")</f>
        <v>0</v>
      </c>
      <c r="J156" s="11">
        <f>IF(J131=J105,"OK","NOK")</f>
        <v>0</v>
      </c>
      <c r="K156" s="11">
        <f>IF(K131=K105,"OK","NOK")</f>
        <v>0</v>
      </c>
      <c r="L156" s="11">
        <f>IF(L131=L105,"OK","NOK")</f>
        <v>0</v>
      </c>
      <c r="M156" s="11">
        <f>IF(M131=M105,"OK","NOK")</f>
        <v>0</v>
      </c>
      <c r="N156" s="11">
        <f>IF(N131=N105,"OK","NOK")</f>
        <v>0</v>
      </c>
      <c r="O156" s="11">
        <f>IF(O131=O105,"OK","NOK")</f>
        <v>0</v>
      </c>
      <c r="P156" s="11">
        <f>IF(P131=P105,"OK","NOK")</f>
        <v>0</v>
      </c>
      <c r="Q156" s="11">
        <f>IF(Q131=Q105,"OK","NOK")</f>
        <v>0</v>
      </c>
      <c r="R156" s="11">
        <f>IF(R131=R105,"OK","NOK")</f>
        <v>0</v>
      </c>
      <c r="S156" s="11">
        <f>IF(S131=S105,"OK","NOK")</f>
        <v>0</v>
      </c>
      <c r="T156" s="11">
        <f>IF(T131=T105,"OK","NOK")</f>
        <v>0</v>
      </c>
      <c r="U156" s="11">
        <f>IF(U131=U105,"OK","NOK")</f>
        <v>0</v>
      </c>
      <c r="V156" s="11">
        <f>IF(V131=V105,"OK","NOK")</f>
        <v>0</v>
      </c>
      <c r="W156" s="11">
        <f>IF(W131=W105,"OK","NOK")</f>
        <v>0</v>
      </c>
      <c r="X156" s="11">
        <f>IF(X131=X105,"OK","NOK")</f>
        <v>0</v>
      </c>
      <c r="Y156" s="11">
        <f>IF(Y131=Y105,"OK","NOK")</f>
        <v>0</v>
      </c>
    </row>
    <row r="157" spans="1:25">
      <c r="A157" s="14" t="s">
        <v>79</v>
      </c>
      <c r="B157" s="11">
        <f>IF(B132=B106,"OK","NOK")</f>
        <v>0</v>
      </c>
      <c r="C157" s="11">
        <f>IF(C132=C106,"OK","NOK")</f>
        <v>0</v>
      </c>
      <c r="D157" s="11">
        <f>IF(D132=D106,"OK","NOK")</f>
        <v>0</v>
      </c>
      <c r="E157" s="11">
        <f>IF(E132=E106,"OK","NOK")</f>
        <v>0</v>
      </c>
      <c r="F157" s="11">
        <f>IF(F132=F106,"OK","NOK")</f>
        <v>0</v>
      </c>
      <c r="G157" s="11">
        <f>IF(G132=G106,"OK","NOK")</f>
        <v>0</v>
      </c>
      <c r="H157" s="11">
        <f>IF(H132=H106,"OK","NOK")</f>
        <v>0</v>
      </c>
      <c r="I157" s="11">
        <f>IF(I132=I106,"OK","NOK")</f>
        <v>0</v>
      </c>
      <c r="J157" s="11">
        <f>IF(J132=J106,"OK","NOK")</f>
        <v>0</v>
      </c>
      <c r="K157" s="11">
        <f>IF(K132=K106,"OK","NOK")</f>
        <v>0</v>
      </c>
      <c r="L157" s="11">
        <f>IF(L132=L106,"OK","NOK")</f>
        <v>0</v>
      </c>
      <c r="M157" s="11">
        <f>IF(M132=M106,"OK","NOK")</f>
        <v>0</v>
      </c>
      <c r="N157" s="11">
        <f>IF(N132=N106,"OK","NOK")</f>
        <v>0</v>
      </c>
      <c r="O157" s="11">
        <f>IF(O132=O106,"OK","NOK")</f>
        <v>0</v>
      </c>
      <c r="P157" s="11">
        <f>IF(P132=P106,"OK","NOK")</f>
        <v>0</v>
      </c>
      <c r="Q157" s="11">
        <f>IF(Q132=Q106,"OK","NOK")</f>
        <v>0</v>
      </c>
      <c r="R157" s="11">
        <f>IF(R132=R106,"OK","NOK")</f>
        <v>0</v>
      </c>
      <c r="S157" s="11">
        <f>IF(S132=S106,"OK","NOK")</f>
        <v>0</v>
      </c>
      <c r="T157" s="11">
        <f>IF(T132=T106,"OK","NOK")</f>
        <v>0</v>
      </c>
      <c r="U157" s="11">
        <f>IF(U132=U106,"OK","NOK")</f>
        <v>0</v>
      </c>
      <c r="V157" s="11">
        <f>IF(V132=V106,"OK","NOK")</f>
        <v>0</v>
      </c>
      <c r="W157" s="11">
        <f>IF(W132=W106,"OK","NOK")</f>
        <v>0</v>
      </c>
      <c r="X157" s="11">
        <f>IF(X132=X106,"OK","NOK")</f>
        <v>0</v>
      </c>
      <c r="Y157" s="11">
        <f>IF(Y132=Y106,"OK","NOK")</f>
        <v>0</v>
      </c>
    </row>
    <row r="158" spans="1:25">
      <c r="A158" s="14" t="s">
        <v>80</v>
      </c>
      <c r="B158" s="11">
        <f>IF(B133=B107,"OK","NOK")</f>
        <v>0</v>
      </c>
      <c r="C158" s="11">
        <f>IF(C133=C107,"OK","NOK")</f>
        <v>0</v>
      </c>
      <c r="D158" s="11">
        <f>IF(D133=D107,"OK","NOK")</f>
        <v>0</v>
      </c>
      <c r="E158" s="11">
        <f>IF(E133=E107,"OK","NOK")</f>
        <v>0</v>
      </c>
      <c r="F158" s="11">
        <f>IF(F133=F107,"OK","NOK")</f>
        <v>0</v>
      </c>
      <c r="G158" s="11">
        <f>IF(G133=G107,"OK","NOK")</f>
        <v>0</v>
      </c>
      <c r="H158" s="11">
        <f>IF(H133=H107,"OK","NOK")</f>
        <v>0</v>
      </c>
      <c r="I158" s="11">
        <f>IF(I133=I107,"OK","NOK")</f>
        <v>0</v>
      </c>
      <c r="J158" s="11">
        <f>IF(J133=J107,"OK","NOK")</f>
        <v>0</v>
      </c>
      <c r="K158" s="11">
        <f>IF(K133=K107,"OK","NOK")</f>
        <v>0</v>
      </c>
      <c r="L158" s="11">
        <f>IF(L133=L107,"OK","NOK")</f>
        <v>0</v>
      </c>
      <c r="M158" s="11">
        <f>IF(M133=M107,"OK","NOK")</f>
        <v>0</v>
      </c>
      <c r="N158" s="11">
        <f>IF(N133=N107,"OK","NOK")</f>
        <v>0</v>
      </c>
      <c r="O158" s="11">
        <f>IF(O133=O107,"OK","NOK")</f>
        <v>0</v>
      </c>
      <c r="P158" s="11">
        <f>IF(P133=P107,"OK","NOK")</f>
        <v>0</v>
      </c>
      <c r="Q158" s="11">
        <f>IF(Q133=Q107,"OK","NOK")</f>
        <v>0</v>
      </c>
      <c r="R158" s="11">
        <f>IF(R133=R107,"OK","NOK")</f>
        <v>0</v>
      </c>
      <c r="S158" s="11">
        <f>IF(S133=S107,"OK","NOK")</f>
        <v>0</v>
      </c>
      <c r="T158" s="11">
        <f>IF(T133=T107,"OK","NOK")</f>
        <v>0</v>
      </c>
      <c r="U158" s="11">
        <f>IF(U133=U107,"OK","NOK")</f>
        <v>0</v>
      </c>
      <c r="V158" s="11">
        <f>IF(V133=V107,"OK","NOK")</f>
        <v>0</v>
      </c>
      <c r="W158" s="11">
        <f>IF(W133=W107,"OK","NOK")</f>
        <v>0</v>
      </c>
      <c r="X158" s="11">
        <f>IF(X133=X107,"OK","NOK")</f>
        <v>0</v>
      </c>
      <c r="Y158" s="11">
        <f>IF(Y133=Y107,"OK","NOK")</f>
        <v>0</v>
      </c>
    </row>
  </sheetData>
  <mergeCells count="1">
    <mergeCell ref="A1:H1"/>
  </mergeCells>
  <conditionalFormatting sqref="B139:Y158">
    <cfRule type="containsText" dxfId="0" priority="3" operator="containsText" text="OK">
      <formula>NOT(ISERROR(SEARCH("OK",B139)))</formula>
    </cfRule>
    <cfRule type="containsText" dxfId="1" priority="4" operator="containsText" text="NOK">
      <formula>NOT(ISERROR(SEARCH("NOK",B139)))</formula>
    </cfRule>
  </conditionalFormatting>
  <conditionalFormatting sqref="B59:Y78">
    <cfRule type="containsText" dxfId="0" priority="1" operator="containsText" text="OK">
      <formula>NOT(ISERROR(SEARCH("OK",B59)))</formula>
    </cfRule>
    <cfRule type="containsText" dxfId="1" priority="2" operator="containsText" text="NOK">
      <formula>NOT(ISERROR(SEARCH("NOK",B59)))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2" width="42.7109375" style="2" customWidth="1"/>
  </cols>
  <sheetData>
    <row r="1" spans="1:2">
      <c r="A1" s="5" t="s">
        <v>224</v>
      </c>
      <c r="B1" s="5"/>
    </row>
    <row r="2" spans="1:2">
      <c r="A2" s="6" t="s">
        <v>171</v>
      </c>
      <c r="B2" s="6" t="s">
        <v>172</v>
      </c>
    </row>
    <row r="3" spans="1:2">
      <c r="A3" s="2" t="s">
        <v>173</v>
      </c>
      <c r="B3" s="2" t="s">
        <v>202</v>
      </c>
    </row>
    <row r="4" spans="1:2">
      <c r="A4" s="2" t="s">
        <v>174</v>
      </c>
      <c r="B4" s="2" t="s">
        <v>203</v>
      </c>
    </row>
    <row r="5" spans="1:2">
      <c r="A5" s="2" t="s">
        <v>175</v>
      </c>
      <c r="B5" s="2" t="s">
        <v>204</v>
      </c>
    </row>
    <row r="6" spans="1:2">
      <c r="A6" s="2" t="s">
        <v>176</v>
      </c>
      <c r="B6" s="2" t="s">
        <v>205</v>
      </c>
    </row>
    <row r="7" spans="1:2">
      <c r="A7" s="2" t="s">
        <v>177</v>
      </c>
      <c r="B7" s="2" t="s">
        <v>206</v>
      </c>
    </row>
    <row r="8" spans="1:2">
      <c r="A8" s="2" t="s">
        <v>178</v>
      </c>
      <c r="B8" s="2" t="s">
        <v>207</v>
      </c>
    </row>
    <row r="9" spans="1:2">
      <c r="A9" s="2" t="s">
        <v>179</v>
      </c>
      <c r="B9" s="2" t="s">
        <v>208</v>
      </c>
    </row>
    <row r="10" spans="1:2">
      <c r="A10" s="2" t="s">
        <v>180</v>
      </c>
    </row>
    <row r="11" spans="1:2">
      <c r="A11" s="2" t="s">
        <v>181</v>
      </c>
      <c r="B11" s="2" t="s">
        <v>206</v>
      </c>
    </row>
    <row r="12" spans="1:2">
      <c r="A12" s="2" t="s">
        <v>182</v>
      </c>
      <c r="B12" s="2" t="s">
        <v>206</v>
      </c>
    </row>
    <row r="13" spans="1:2">
      <c r="A13" s="2" t="s">
        <v>183</v>
      </c>
      <c r="B13" s="2" t="s">
        <v>205</v>
      </c>
    </row>
    <row r="14" spans="1:2">
      <c r="A14" s="2" t="s">
        <v>184</v>
      </c>
      <c r="B14" s="2" t="s">
        <v>209</v>
      </c>
    </row>
    <row r="15" spans="1:2">
      <c r="A15" s="2" t="s">
        <v>185</v>
      </c>
      <c r="B15" s="2" t="s">
        <v>35</v>
      </c>
    </row>
    <row r="16" spans="1:2">
      <c r="A16" s="2" t="s">
        <v>186</v>
      </c>
      <c r="B16" s="2" t="s">
        <v>210</v>
      </c>
    </row>
    <row r="17" spans="1:2">
      <c r="A17" s="2" t="s">
        <v>187</v>
      </c>
      <c r="B17" s="2" t="s">
        <v>211</v>
      </c>
    </row>
    <row r="18" spans="1:2">
      <c r="A18" s="2" t="s">
        <v>188</v>
      </c>
      <c r="B18" s="2" t="s">
        <v>212</v>
      </c>
    </row>
    <row r="19" spans="1:2">
      <c r="A19" s="2" t="s">
        <v>189</v>
      </c>
      <c r="B19" s="2" t="s">
        <v>213</v>
      </c>
    </row>
    <row r="20" spans="1:2">
      <c r="A20" s="2" t="s">
        <v>190</v>
      </c>
      <c r="B20" s="2" t="s">
        <v>214</v>
      </c>
    </row>
    <row r="21" spans="1:2">
      <c r="A21" s="2" t="s">
        <v>191</v>
      </c>
      <c r="B21" s="2" t="s">
        <v>215</v>
      </c>
    </row>
    <row r="22" spans="1:2">
      <c r="A22" s="2" t="s">
        <v>192</v>
      </c>
      <c r="B22" s="2" t="s">
        <v>208</v>
      </c>
    </row>
    <row r="23" spans="1:2">
      <c r="A23" s="2" t="s">
        <v>193</v>
      </c>
      <c r="B23" s="2" t="s">
        <v>216</v>
      </c>
    </row>
    <row r="24" spans="1:2">
      <c r="A24" s="2" t="s">
        <v>194</v>
      </c>
      <c r="B24" s="2" t="s">
        <v>217</v>
      </c>
    </row>
    <row r="25" spans="1:2">
      <c r="A25" s="2" t="s">
        <v>195</v>
      </c>
      <c r="B25" s="2" t="s">
        <v>218</v>
      </c>
    </row>
    <row r="26" spans="1:2">
      <c r="A26" s="2" t="s">
        <v>196</v>
      </c>
      <c r="B26" s="2" t="s">
        <v>219</v>
      </c>
    </row>
    <row r="27" spans="1:2">
      <c r="A27" s="2" t="s">
        <v>197</v>
      </c>
      <c r="B27" s="2" t="s">
        <v>220</v>
      </c>
    </row>
    <row r="28" spans="1:2">
      <c r="A28" s="2" t="s">
        <v>198</v>
      </c>
      <c r="B28" s="2" t="s">
        <v>220</v>
      </c>
    </row>
    <row r="29" spans="1:2">
      <c r="A29" s="2" t="s">
        <v>199</v>
      </c>
      <c r="B29" s="2" t="s">
        <v>221</v>
      </c>
    </row>
    <row r="30" spans="1:2">
      <c r="A30" s="2" t="s">
        <v>200</v>
      </c>
      <c r="B30" s="2" t="s">
        <v>222</v>
      </c>
    </row>
    <row r="31" spans="1:2">
      <c r="A31" s="2" t="s">
        <v>201</v>
      </c>
      <c r="B31" s="2" t="s">
        <v>223</v>
      </c>
    </row>
  </sheetData>
  <autoFilter ref="A2:B31"/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cols>
    <col min="1" max="1" width="24.7109375" customWidth="1"/>
    <col min="2" max="2" width="34.7109375" customWidth="1"/>
    <col min="3" max="4" width="70.7109375" customWidth="1"/>
  </cols>
  <sheetData>
    <row r="1" spans="1:4">
      <c r="A1" s="5" t="s">
        <v>322</v>
      </c>
      <c r="B1" s="5"/>
      <c r="C1" s="5"/>
      <c r="D1" s="5"/>
    </row>
    <row r="2" spans="1:4">
      <c r="A2" s="6" t="s">
        <v>225</v>
      </c>
      <c r="B2" s="6" t="s">
        <v>226</v>
      </c>
      <c r="C2" s="6" t="s">
        <v>227</v>
      </c>
      <c r="D2" s="6" t="s">
        <v>228</v>
      </c>
    </row>
    <row r="3" spans="1:4">
      <c r="A3" t="s">
        <v>31</v>
      </c>
      <c r="B3" t="s">
        <v>19</v>
      </c>
      <c r="C3" t="s">
        <v>250</v>
      </c>
      <c r="D3" t="s">
        <v>287</v>
      </c>
    </row>
    <row r="4" spans="1:4">
      <c r="A4" t="s">
        <v>31</v>
      </c>
      <c r="B4" t="s">
        <v>2</v>
      </c>
      <c r="C4" t="s">
        <v>251</v>
      </c>
      <c r="D4" t="s">
        <v>288</v>
      </c>
    </row>
    <row r="5" spans="1:4">
      <c r="A5" t="s">
        <v>31</v>
      </c>
      <c r="B5" t="s">
        <v>234</v>
      </c>
      <c r="C5" t="s">
        <v>252</v>
      </c>
      <c r="D5" t="s">
        <v>289</v>
      </c>
    </row>
    <row r="6" spans="1:4">
      <c r="A6" t="s">
        <v>31</v>
      </c>
      <c r="B6" t="s">
        <v>3</v>
      </c>
      <c r="C6" t="s">
        <v>253</v>
      </c>
      <c r="D6" t="s">
        <v>290</v>
      </c>
    </row>
    <row r="7" spans="1:4">
      <c r="A7" t="s">
        <v>31</v>
      </c>
      <c r="B7" t="s">
        <v>235</v>
      </c>
      <c r="C7" t="s">
        <v>254</v>
      </c>
      <c r="D7" t="s">
        <v>291</v>
      </c>
    </row>
    <row r="8" spans="1:4">
      <c r="A8" t="s">
        <v>31</v>
      </c>
      <c r="B8" t="s">
        <v>236</v>
      </c>
      <c r="C8" t="s">
        <v>255</v>
      </c>
      <c r="D8" t="s">
        <v>292</v>
      </c>
    </row>
    <row r="9" spans="1:4">
      <c r="A9" t="s">
        <v>31</v>
      </c>
      <c r="B9" t="s">
        <v>237</v>
      </c>
      <c r="C9" t="s">
        <v>255</v>
      </c>
      <c r="D9" t="s">
        <v>293</v>
      </c>
    </row>
    <row r="10" spans="1:4">
      <c r="A10" t="s">
        <v>31</v>
      </c>
      <c r="B10" t="s">
        <v>238</v>
      </c>
      <c r="C10" t="s">
        <v>256</v>
      </c>
      <c r="D10" t="s">
        <v>294</v>
      </c>
    </row>
    <row r="11" spans="1:4">
      <c r="A11" t="s">
        <v>31</v>
      </c>
      <c r="B11" t="s">
        <v>239</v>
      </c>
      <c r="C11" t="s">
        <v>257</v>
      </c>
      <c r="D11" t="s">
        <v>295</v>
      </c>
    </row>
    <row r="12" spans="1:4">
      <c r="A12" t="s">
        <v>31</v>
      </c>
      <c r="B12" t="s">
        <v>23</v>
      </c>
      <c r="C12" t="s">
        <v>258</v>
      </c>
      <c r="D12" t="s">
        <v>296</v>
      </c>
    </row>
    <row r="13" spans="1:4">
      <c r="A13" t="s">
        <v>31</v>
      </c>
      <c r="B13" t="s">
        <v>24</v>
      </c>
      <c r="C13" t="s">
        <v>259</v>
      </c>
      <c r="D13" t="s">
        <v>297</v>
      </c>
    </row>
    <row r="14" spans="1:4">
      <c r="A14" t="s">
        <v>31</v>
      </c>
      <c r="B14" t="s">
        <v>138</v>
      </c>
      <c r="C14" t="s">
        <v>260</v>
      </c>
      <c r="D14" t="s">
        <v>298</v>
      </c>
    </row>
    <row r="15" spans="1:4">
      <c r="A15" t="s">
        <v>31</v>
      </c>
      <c r="B15" t="s">
        <v>139</v>
      </c>
      <c r="C15" t="s">
        <v>261</v>
      </c>
      <c r="D15" t="s">
        <v>299</v>
      </c>
    </row>
    <row r="16" spans="1:4">
      <c r="A16" t="s">
        <v>229</v>
      </c>
      <c r="B16" t="s">
        <v>56</v>
      </c>
      <c r="C16" t="s">
        <v>262</v>
      </c>
      <c r="D16" t="s">
        <v>300</v>
      </c>
    </row>
    <row r="17" spans="1:4">
      <c r="A17" t="s">
        <v>229</v>
      </c>
      <c r="B17" t="s">
        <v>240</v>
      </c>
      <c r="C17" t="s">
        <v>263</v>
      </c>
      <c r="D17" t="s">
        <v>301</v>
      </c>
    </row>
    <row r="18" spans="1:4">
      <c r="A18" t="s">
        <v>229</v>
      </c>
      <c r="B18" t="s">
        <v>50</v>
      </c>
      <c r="C18" t="s">
        <v>264</v>
      </c>
      <c r="D18" t="s">
        <v>302</v>
      </c>
    </row>
    <row r="19" spans="1:4">
      <c r="A19" t="s">
        <v>229</v>
      </c>
      <c r="B19" t="s">
        <v>241</v>
      </c>
      <c r="C19" t="s">
        <v>265</v>
      </c>
      <c r="D19" t="s">
        <v>303</v>
      </c>
    </row>
    <row r="20" spans="1:4">
      <c r="A20" t="s">
        <v>229</v>
      </c>
      <c r="B20" t="s">
        <v>242</v>
      </c>
      <c r="C20" t="s">
        <v>266</v>
      </c>
      <c r="D20" t="s">
        <v>304</v>
      </c>
    </row>
    <row r="21" spans="1:4">
      <c r="A21" t="s">
        <v>229</v>
      </c>
      <c r="B21" t="s">
        <v>243</v>
      </c>
      <c r="C21" t="s">
        <v>267</v>
      </c>
      <c r="D21" t="s">
        <v>305</v>
      </c>
    </row>
    <row r="22" spans="1:4">
      <c r="A22" t="s">
        <v>229</v>
      </c>
      <c r="B22" t="s">
        <v>3</v>
      </c>
      <c r="C22" t="s">
        <v>268</v>
      </c>
      <c r="D22" t="s">
        <v>306</v>
      </c>
    </row>
    <row r="23" spans="1:4">
      <c r="A23" t="s">
        <v>229</v>
      </c>
      <c r="B23" t="s">
        <v>60</v>
      </c>
      <c r="C23" t="s">
        <v>269</v>
      </c>
      <c r="D23" t="s">
        <v>307</v>
      </c>
    </row>
    <row r="24" spans="1:4">
      <c r="A24" t="s">
        <v>230</v>
      </c>
      <c r="B24" t="s">
        <v>96</v>
      </c>
      <c r="C24" t="s">
        <v>270</v>
      </c>
      <c r="D24" t="s">
        <v>308</v>
      </c>
    </row>
    <row r="25" spans="1:4">
      <c r="A25" t="s">
        <v>230</v>
      </c>
      <c r="B25" t="s">
        <v>92</v>
      </c>
      <c r="C25" t="s">
        <v>271</v>
      </c>
      <c r="D25" t="s">
        <v>309</v>
      </c>
    </row>
    <row r="26" spans="1:4">
      <c r="A26" t="s">
        <v>230</v>
      </c>
      <c r="B26" t="s">
        <v>97</v>
      </c>
      <c r="C26" t="s">
        <v>272</v>
      </c>
      <c r="D26" t="s">
        <v>310</v>
      </c>
    </row>
    <row r="27" spans="1:4">
      <c r="A27" t="s">
        <v>230</v>
      </c>
      <c r="B27" t="s">
        <v>104</v>
      </c>
      <c r="C27" t="s">
        <v>273</v>
      </c>
      <c r="D27" t="s">
        <v>311</v>
      </c>
    </row>
    <row r="28" spans="1:4">
      <c r="A28" t="s">
        <v>230</v>
      </c>
      <c r="B28" t="s">
        <v>105</v>
      </c>
      <c r="C28" t="s">
        <v>274</v>
      </c>
      <c r="D28" t="s">
        <v>312</v>
      </c>
    </row>
    <row r="29" spans="1:4">
      <c r="A29" t="s">
        <v>230</v>
      </c>
      <c r="B29" t="s">
        <v>106</v>
      </c>
      <c r="C29" t="s">
        <v>275</v>
      </c>
      <c r="D29" t="s">
        <v>313</v>
      </c>
    </row>
    <row r="30" spans="1:4">
      <c r="A30" t="s">
        <v>140</v>
      </c>
      <c r="B30" t="s">
        <v>23</v>
      </c>
      <c r="C30" t="s">
        <v>276</v>
      </c>
      <c r="D30" t="s">
        <v>296</v>
      </c>
    </row>
    <row r="31" spans="1:4">
      <c r="A31" t="s">
        <v>140</v>
      </c>
      <c r="B31" t="s">
        <v>24</v>
      </c>
      <c r="C31" t="s">
        <v>277</v>
      </c>
      <c r="D31" t="s">
        <v>297</v>
      </c>
    </row>
    <row r="32" spans="1:4">
      <c r="A32" t="s">
        <v>140</v>
      </c>
      <c r="B32" t="s">
        <v>138</v>
      </c>
      <c r="C32" t="s">
        <v>278</v>
      </c>
      <c r="D32" t="s">
        <v>298</v>
      </c>
    </row>
    <row r="33" spans="1:4">
      <c r="A33" t="s">
        <v>31</v>
      </c>
      <c r="B33" t="s">
        <v>0</v>
      </c>
      <c r="C33" t="s">
        <v>279</v>
      </c>
      <c r="D33" t="s">
        <v>314</v>
      </c>
    </row>
    <row r="34" spans="1:4">
      <c r="A34" t="s">
        <v>231</v>
      </c>
      <c r="B34" t="s">
        <v>244</v>
      </c>
      <c r="C34" t="s">
        <v>280</v>
      </c>
      <c r="D34" t="s">
        <v>315</v>
      </c>
    </row>
    <row r="35" spans="1:4">
      <c r="A35" t="s">
        <v>231</v>
      </c>
      <c r="B35" t="s">
        <v>192</v>
      </c>
      <c r="C35" t="s">
        <v>281</v>
      </c>
      <c r="D35" t="s">
        <v>316</v>
      </c>
    </row>
    <row r="36" spans="1:4">
      <c r="A36" t="s">
        <v>231</v>
      </c>
      <c r="B36" t="s">
        <v>245</v>
      </c>
      <c r="C36" t="s">
        <v>282</v>
      </c>
      <c r="D36" t="s">
        <v>317</v>
      </c>
    </row>
    <row r="37" spans="1:4">
      <c r="A37" t="s">
        <v>229</v>
      </c>
      <c r="B37" t="s">
        <v>246</v>
      </c>
      <c r="C37" t="s">
        <v>283</v>
      </c>
      <c r="D37" t="s">
        <v>318</v>
      </c>
    </row>
    <row r="38" spans="1:4">
      <c r="A38" t="s">
        <v>229</v>
      </c>
      <c r="B38" t="s">
        <v>247</v>
      </c>
      <c r="C38" t="s">
        <v>284</v>
      </c>
      <c r="D38" t="s">
        <v>319</v>
      </c>
    </row>
    <row r="39" spans="1:4">
      <c r="A39" t="s">
        <v>232</v>
      </c>
      <c r="B39" t="s">
        <v>248</v>
      </c>
      <c r="C39" t="s">
        <v>285</v>
      </c>
      <c r="D39" t="s">
        <v>320</v>
      </c>
    </row>
    <row r="40" spans="1:4">
      <c r="A40" t="s">
        <v>233</v>
      </c>
      <c r="B40" t="s">
        <v>249</v>
      </c>
      <c r="C40" t="s">
        <v>286</v>
      </c>
      <c r="D40" t="s">
        <v>321</v>
      </c>
    </row>
  </sheetData>
  <autoFilter ref="A2:D40"/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cols>
    <col min="1" max="1" width="42.7109375" style="2" customWidth="1"/>
  </cols>
  <sheetData>
    <row r="1" spans="1:1">
      <c r="A1" s="5" t="s">
        <v>233</v>
      </c>
    </row>
    <row r="2" spans="1:1">
      <c r="A2" s="6" t="s">
        <v>249</v>
      </c>
    </row>
    <row r="3" spans="1:1">
      <c r="A3" s="2" t="s">
        <v>323</v>
      </c>
    </row>
    <row r="4" spans="1:1">
      <c r="A4" s="2" t="s">
        <v>324</v>
      </c>
    </row>
    <row r="5" spans="1:1">
      <c r="A5" s="2" t="s">
        <v>325</v>
      </c>
    </row>
    <row r="6" spans="1:1">
      <c r="A6" s="2" t="s">
        <v>326</v>
      </c>
    </row>
    <row r="7" spans="1:1">
      <c r="A7" s="2" t="s">
        <v>327</v>
      </c>
    </row>
    <row r="8" spans="1:1">
      <c r="A8" s="2" t="s">
        <v>328</v>
      </c>
    </row>
    <row r="9" spans="1:1">
      <c r="A9" s="2" t="s">
        <v>329</v>
      </c>
    </row>
    <row r="10" spans="1:1">
      <c r="A10" s="2" t="s">
        <v>330</v>
      </c>
    </row>
    <row r="11" spans="1:1">
      <c r="A11" s="2" t="s">
        <v>331</v>
      </c>
    </row>
    <row r="12" spans="1:1">
      <c r="A12" s="2" t="s">
        <v>332</v>
      </c>
    </row>
    <row r="13" spans="1:1">
      <c r="A13" s="2" t="s">
        <v>333</v>
      </c>
    </row>
    <row r="14" spans="1:1">
      <c r="A14" s="2" t="s">
        <v>334</v>
      </c>
    </row>
    <row r="15" spans="1:1">
      <c r="A15" s="2" t="s">
        <v>335</v>
      </c>
    </row>
  </sheetData>
  <autoFilter ref="A2:A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 Categorias</vt:lpstr>
      <vt:lpstr>BISNAGA_REGULAR</vt:lpstr>
      <vt:lpstr>BOLOS_REGULAR</vt:lpstr>
      <vt:lpstr>Gráficos Cobertura</vt:lpstr>
      <vt:lpstr>Base SKUs</vt:lpstr>
      <vt:lpstr>Base Contribuição Sell-out</vt:lpstr>
      <vt:lpstr>SKUs por Categoria</vt:lpstr>
      <vt:lpstr>Crosschecks</vt:lpstr>
      <vt:lpstr>Parâmetros</vt:lpstr>
      <vt:lpstr>Descrição Cálculos</vt:lpstr>
      <vt:lpstr>Avisos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2026-06-18T18:13:16Z</dcterms:created>
  <dcterms:modified xsi:type="dcterms:W3CDTF">2026-06-18T18:13:16Z</dcterms:modified>
</cp:coreProperties>
</file>